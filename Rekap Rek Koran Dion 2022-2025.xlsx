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rosmanizar/Library/CloudStorage/OneDrive-Pribadi/"/>
    </mc:Choice>
  </mc:AlternateContent>
  <xr:revisionPtr revIDLastSave="0" documentId="8_{A7A91DCA-DD75-0841-9DFD-C001D474C541}" xr6:coauthVersionLast="47" xr6:coauthVersionMax="47" xr10:uidLastSave="{00000000-0000-0000-0000-000000000000}"/>
  <bookViews>
    <workbookView xWindow="0" yWindow="780" windowWidth="34200" windowHeight="20140" xr2:uid="{00000000-000D-0000-FFFF-FFFF00000000}"/>
  </bookViews>
  <sheets>
    <sheet name="REK KORAN DION" sheetId="1" r:id="rId1"/>
    <sheet name="LIST REK" sheetId="2" r:id="rId2"/>
    <sheet name="REK KORAN TELAGA" sheetId="3" r:id="rId3"/>
    <sheet name="LIST DATA REK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8D/X3uXiPbNXL/bEDzTeQ9aCmyXm9CRqHhN6bzqFDbk="/>
    </ext>
  </extLst>
</workbook>
</file>

<file path=xl/calcChain.xml><?xml version="1.0" encoding="utf-8"?>
<calcChain xmlns="http://schemas.openxmlformats.org/spreadsheetml/2006/main">
  <c r="AD29" i="3" l="1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AE26" i="3"/>
  <c r="AE25" i="3"/>
  <c r="AF26" i="3" s="1"/>
  <c r="AE23" i="3"/>
  <c r="AE21" i="3"/>
  <c r="AG20" i="3"/>
  <c r="AE20" i="3"/>
  <c r="AF21" i="3" s="1"/>
  <c r="AE19" i="3"/>
  <c r="AE18" i="3"/>
  <c r="AF16" i="3"/>
  <c r="AE16" i="3"/>
  <c r="AE15" i="3"/>
  <c r="AE14" i="3"/>
  <c r="AE13" i="3"/>
  <c r="AC12" i="3"/>
  <c r="AE11" i="3"/>
  <c r="AE10" i="3"/>
  <c r="AF11" i="3" s="1"/>
  <c r="AE9" i="3"/>
  <c r="AE8" i="3"/>
  <c r="AC7" i="3"/>
  <c r="AF6" i="3"/>
  <c r="AE6" i="3"/>
  <c r="AE5" i="3"/>
  <c r="AE4" i="3"/>
  <c r="AE3" i="3"/>
  <c r="AM31" i="1"/>
  <c r="AM30" i="1"/>
  <c r="AM26" i="1"/>
  <c r="AM25" i="1"/>
  <c r="AM21" i="1"/>
  <c r="AM20" i="1"/>
  <c r="AN22" i="1" s="1"/>
  <c r="AM16" i="1"/>
  <c r="AM15" i="1"/>
  <c r="AN17" i="1" s="1"/>
  <c r="AM11" i="1"/>
  <c r="AM10" i="1"/>
  <c r="AN12" i="1" s="1"/>
  <c r="AQ9" i="1"/>
  <c r="AI9" i="1"/>
  <c r="AI12" i="1" s="1"/>
  <c r="AJ9" i="1" s="1"/>
  <c r="AJ12" i="1" s="1"/>
  <c r="AH9" i="1"/>
  <c r="AM6" i="1"/>
  <c r="AM5" i="1"/>
  <c r="AN7" i="1" s="1"/>
  <c r="AQ4" i="1"/>
  <c r="AQ5" i="1" l="1"/>
  <c r="AQ7" i="1" s="1"/>
  <c r="AQ1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W13" authorId="0" shapeId="0" xr:uid="{00000000-0006-0000-0200-000001000000}">
      <text>
        <r>
          <rPr>
            <sz val="11"/>
            <color theme="1"/>
            <rFont val="Aptos Narrow"/>
            <scheme val="minor"/>
          </rPr>
          <t>======
ID#AAABlFGGIss
3EA07_Rahman Nurfajeri    (2025-06-03 16:18:00)
file bulan okt-des 2024 tidak ada di rek koran</t>
        </r>
      </text>
    </comment>
    <comment ref="P18" authorId="0" shapeId="0" xr:uid="{00000000-0006-0000-0200-000002000000}">
      <text>
        <r>
          <rPr>
            <sz val="11"/>
            <color theme="1"/>
            <rFont val="Aptos Narrow"/>
            <scheme val="minor"/>
          </rPr>
          <t>======
ID#AAABlFGGIso
490-Irsyad Izzudin    (2025-06-03 16:13:44)
file maret bri ops ada di bri merchant</t>
        </r>
      </text>
    </comment>
    <comment ref="R18" authorId="0" shapeId="0" xr:uid="{00000000-0006-0000-0200-000003000000}">
      <text>
        <r>
          <rPr>
            <sz val="11"/>
            <color theme="1"/>
            <rFont val="Aptos Narrow"/>
            <scheme val="minor"/>
          </rPr>
          <t>======
ID#AAABlFGGIsg
490-Irsyad Izzudin    (2025-06-03 16:00:48)
file bri ops mei ada di mei bri merchant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rBRXqyhDsyi4lsFKdJ/h0zdcDWA=="/>
    </ext>
  </extLst>
</comments>
</file>

<file path=xl/sharedStrings.xml><?xml version="1.0" encoding="utf-8"?>
<sst xmlns="http://schemas.openxmlformats.org/spreadsheetml/2006/main" count="643" uniqueCount="63">
  <si>
    <t>REKAP REKENING KORAN DION</t>
  </si>
  <si>
    <t>Arus kas</t>
  </si>
  <si>
    <t>TOTAL</t>
  </si>
  <si>
    <t>Kas Tunai</t>
  </si>
  <si>
    <t>BCA Merchant Wanda azura</t>
  </si>
  <si>
    <t>Saldo Awal</t>
  </si>
  <si>
    <t>-</t>
  </si>
  <si>
    <t>Kas di Bank</t>
  </si>
  <si>
    <t>Total Kredit</t>
  </si>
  <si>
    <t>Pendapatan</t>
  </si>
  <si>
    <t>Total Debit</t>
  </si>
  <si>
    <t xml:space="preserve">Saham </t>
  </si>
  <si>
    <t>Saldo Akhir</t>
  </si>
  <si>
    <t>Total Cash in</t>
  </si>
  <si>
    <t>BCA Ops azura</t>
  </si>
  <si>
    <t>Total Cash Out</t>
  </si>
  <si>
    <t>Selisih</t>
  </si>
  <si>
    <t>BRI Yudi</t>
  </si>
  <si>
    <t>azura</t>
  </si>
  <si>
    <t>Nobu Yudi</t>
  </si>
  <si>
    <t>CIMB Niaga Wanda</t>
  </si>
  <si>
    <t>BNI Wanda</t>
  </si>
  <si>
    <t>LIST REKENING DION</t>
  </si>
  <si>
    <t>Bank</t>
  </si>
  <si>
    <t>No rekening</t>
  </si>
  <si>
    <t>Remarks</t>
  </si>
  <si>
    <t>BCA</t>
  </si>
  <si>
    <t>BCA  Merchant</t>
  </si>
  <si>
    <t>BCA OPS</t>
  </si>
  <si>
    <t>BRI</t>
  </si>
  <si>
    <t>042001001200306</t>
  </si>
  <si>
    <t>BRI MERCHANT</t>
  </si>
  <si>
    <t>BNI</t>
  </si>
  <si>
    <t>CIMB NIAGA</t>
  </si>
  <si>
    <t>NOBU</t>
  </si>
  <si>
    <t>LIST REKENING TELAGA SENAYAN</t>
  </si>
  <si>
    <t>MERCHANT</t>
  </si>
  <si>
    <t>OPS</t>
  </si>
  <si>
    <t>00000423-01-898989-30-9</t>
  </si>
  <si>
    <t>00000420-01-889999-30-7</t>
  </si>
  <si>
    <t>MANDIRI</t>
  </si>
  <si>
    <t>REKAP REKENING KORAN TELAGA</t>
  </si>
  <si>
    <t>BCA MERCHANT</t>
  </si>
  <si>
    <t>SALDO AWAL</t>
  </si>
  <si>
    <t>TOTAL DEBIT</t>
  </si>
  <si>
    <t>TOTAL KREDIT</t>
  </si>
  <si>
    <t>SALDO AKHIR</t>
  </si>
  <si>
    <t>BRI MERCHANT (309)</t>
  </si>
  <si>
    <t>BRI OPS (307)</t>
  </si>
  <si>
    <t>MANDIRI MERCHANT</t>
  </si>
  <si>
    <t>DION</t>
  </si>
  <si>
    <t>Periode</t>
  </si>
  <si>
    <t>maman</t>
  </si>
  <si>
    <t>BCA Merchant (1798807888)</t>
  </si>
  <si>
    <t>v</t>
  </si>
  <si>
    <t>x</t>
  </si>
  <si>
    <t>BCA Ops (1792772778)</t>
  </si>
  <si>
    <t>ICAT</t>
  </si>
  <si>
    <t>BRI (0420-01-001200-30-6)</t>
  </si>
  <si>
    <t>TELAGA SENAYAN</t>
  </si>
  <si>
    <t>MAMAN</t>
  </si>
  <si>
    <t>JURA</t>
  </si>
  <si>
    <t>BRI 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</si>
</sst>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mmm\-yy"/>
    <numFmt numFmtId="165" formatCode="_(* #,##0.00_);_(* \(#,##0.00\);_(* &quot;-&quot;??_);_(@_)"/>
    <numFmt numFmtId="166" formatCode="#,##0.00;\(#,##0.00\)"/>
    <numFmt numFmtId="167" formatCode="#,##0.0;\(#,##0.0\)"/>
    <numFmt numFmtId="168" formatCode="#,##0;\(#,##0\)"/>
    <numFmt numFmtId="169" formatCode="mmmm&quot; &quot;yyyy"/>
  </numFmts>
  <fonts count="11" x14ac:knownFonts="1">
    <font>
      <sz val="11"/>
      <color theme="1"/>
      <name val="Aptos Narrow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scheme val="minor"/>
    </font>
    <font>
      <b/>
      <sz val="11"/>
      <color theme="1"/>
      <name val="Arial"/>
      <family val="2"/>
    </font>
    <font>
      <b/>
      <sz val="11"/>
      <color theme="1"/>
      <name val="Aptos Narrow"/>
      <scheme val="minor"/>
    </font>
    <font>
      <sz val="11"/>
      <color rgb="FF00000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ptos Narrow"/>
    </font>
    <font>
      <b/>
      <sz val="11"/>
      <color theme="1"/>
      <name val="Aptos Narrow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CAEDFB"/>
        <bgColor rgb="FFCAEDFB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  <xf numFmtId="164" fontId="2" fillId="4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65" fontId="2" fillId="2" borderId="0" xfId="0" applyNumberFormat="1" applyFont="1" applyFill="1" applyAlignment="1">
      <alignment horizontal="center" vertical="center"/>
    </xf>
    <xf numFmtId="166" fontId="2" fillId="6" borderId="0" xfId="0" applyNumberFormat="1" applyFont="1" applyFill="1"/>
    <xf numFmtId="166" fontId="2" fillId="0" borderId="0" xfId="0" applyNumberFormat="1" applyFont="1"/>
    <xf numFmtId="166" fontId="2" fillId="0" borderId="0" xfId="0" applyNumberFormat="1" applyFont="1" applyAlignment="1">
      <alignment horizontal="center"/>
    </xf>
    <xf numFmtId="166" fontId="3" fillId="0" borderId="0" xfId="0" applyNumberFormat="1" applyFont="1"/>
    <xf numFmtId="166" fontId="1" fillId="5" borderId="0" xfId="0" applyNumberFormat="1" applyFont="1" applyFill="1"/>
    <xf numFmtId="166" fontId="1" fillId="2" borderId="0" xfId="0" applyNumberFormat="1" applyFont="1" applyFill="1"/>
    <xf numFmtId="166" fontId="2" fillId="2" borderId="0" xfId="0" applyNumberFormat="1" applyFont="1" applyFill="1"/>
    <xf numFmtId="166" fontId="0" fillId="0" borderId="0" xfId="0" applyNumberFormat="1"/>
    <xf numFmtId="0" fontId="4" fillId="0" borderId="0" xfId="0" applyFont="1"/>
    <xf numFmtId="0" fontId="4" fillId="7" borderId="0" xfId="0" applyFont="1" applyFill="1"/>
    <xf numFmtId="165" fontId="5" fillId="7" borderId="0" xfId="0" applyNumberFormat="1" applyFont="1" applyFill="1"/>
    <xf numFmtId="166" fontId="2" fillId="0" borderId="0" xfId="0" applyNumberFormat="1" applyFont="1" applyAlignment="1">
      <alignment horizontal="right"/>
    </xf>
    <xf numFmtId="3" fontId="2" fillId="0" borderId="0" xfId="0" applyNumberFormat="1" applyFont="1"/>
    <xf numFmtId="167" fontId="2" fillId="0" borderId="0" xfId="0" applyNumberFormat="1" applyFont="1" applyAlignment="1">
      <alignment horizontal="right"/>
    </xf>
    <xf numFmtId="166" fontId="1" fillId="7" borderId="0" xfId="0" applyNumberFormat="1" applyFont="1" applyFill="1"/>
    <xf numFmtId="0" fontId="6" fillId="0" borderId="0" xfId="0" applyFont="1"/>
    <xf numFmtId="3" fontId="6" fillId="0" borderId="0" xfId="0" applyNumberFormat="1" applyFont="1" applyAlignment="1">
      <alignment horizontal="right"/>
    </xf>
    <xf numFmtId="0" fontId="2" fillId="6" borderId="0" xfId="0" applyFont="1" applyFill="1"/>
    <xf numFmtId="0" fontId="2" fillId="0" borderId="0" xfId="0" applyFont="1" applyAlignment="1">
      <alignment horizontal="center"/>
    </xf>
    <xf numFmtId="168" fontId="2" fillId="0" borderId="0" xfId="0" applyNumberFormat="1" applyFont="1" applyAlignment="1">
      <alignment horizontal="right"/>
    </xf>
    <xf numFmtId="168" fontId="6" fillId="0" borderId="0" xfId="0" applyNumberFormat="1" applyFont="1"/>
    <xf numFmtId="168" fontId="7" fillId="0" borderId="0" xfId="0" applyNumberFormat="1" applyFont="1" applyAlignment="1">
      <alignment horizontal="right"/>
    </xf>
    <xf numFmtId="168" fontId="7" fillId="5" borderId="0" xfId="0" applyNumberFormat="1" applyFont="1" applyFill="1" applyAlignment="1">
      <alignment horizontal="right"/>
    </xf>
    <xf numFmtId="3" fontId="6" fillId="5" borderId="0" xfId="0" applyNumberFormat="1" applyFont="1" applyFill="1" applyAlignment="1">
      <alignment horizontal="right"/>
    </xf>
    <xf numFmtId="168" fontId="2" fillId="5" borderId="0" xfId="0" applyNumberFormat="1" applyFont="1" applyFill="1" applyAlignment="1">
      <alignment horizontal="right"/>
    </xf>
    <xf numFmtId="166" fontId="8" fillId="0" borderId="0" xfId="0" applyNumberFormat="1" applyFont="1"/>
    <xf numFmtId="165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0" fontId="9" fillId="0" borderId="0" xfId="0" applyFont="1"/>
    <xf numFmtId="0" fontId="10" fillId="0" borderId="0" xfId="0" applyFont="1"/>
    <xf numFmtId="0" fontId="3" fillId="0" borderId="0" xfId="0" applyFont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9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8" fillId="0" borderId="1" xfId="0" quotePrefix="1" applyFont="1" applyBorder="1" applyAlignment="1">
      <alignment horizontal="center"/>
    </xf>
    <xf numFmtId="0" fontId="8" fillId="0" borderId="1" xfId="0" applyFont="1" applyBorder="1"/>
    <xf numFmtId="0" fontId="3" fillId="0" borderId="1" xfId="0" applyFont="1" applyBorder="1"/>
    <xf numFmtId="166" fontId="1" fillId="0" borderId="0" xfId="0" applyNumberFormat="1" applyFont="1"/>
    <xf numFmtId="169" fontId="1" fillId="0" borderId="0" xfId="0" applyNumberFormat="1" applyFont="1" applyAlignment="1">
      <alignment horizontal="center"/>
    </xf>
    <xf numFmtId="169" fontId="1" fillId="9" borderId="0" xfId="0" applyNumberFormat="1" applyFont="1" applyFill="1" applyAlignment="1">
      <alignment horizontal="center"/>
    </xf>
    <xf numFmtId="166" fontId="2" fillId="10" borderId="0" xfId="0" applyNumberFormat="1" applyFont="1" applyFill="1"/>
    <xf numFmtId="166" fontId="2" fillId="10" borderId="0" xfId="0" applyNumberFormat="1" applyFont="1" applyFill="1" applyAlignment="1">
      <alignment horizontal="center"/>
    </xf>
    <xf numFmtId="166" fontId="1" fillId="10" borderId="0" xfId="0" applyNumberFormat="1" applyFont="1" applyFill="1"/>
    <xf numFmtId="166" fontId="6" fillId="0" borderId="0" xfId="0" applyNumberFormat="1" applyFont="1"/>
    <xf numFmtId="166" fontId="8" fillId="10" borderId="0" xfId="0" applyNumberFormat="1" applyFont="1" applyFill="1"/>
    <xf numFmtId="166" fontId="6" fillId="11" borderId="0" xfId="0" applyNumberFormat="1" applyFont="1" applyFill="1" applyAlignment="1">
      <alignment horizontal="right" vertical="top"/>
    </xf>
    <xf numFmtId="0" fontId="3" fillId="10" borderId="0" xfId="0" applyFont="1" applyFill="1"/>
    <xf numFmtId="166" fontId="2" fillId="10" borderId="0" xfId="0" applyNumberFormat="1" applyFont="1" applyFill="1" applyAlignment="1">
      <alignment horizontal="right"/>
    </xf>
    <xf numFmtId="166" fontId="6" fillId="10" borderId="0" xfId="0" applyNumberFormat="1" applyFont="1" applyFill="1" applyAlignment="1">
      <alignment horizontal="right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12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04"/>
  <sheetViews>
    <sheetView tabSelected="1" workbookViewId="0">
      <pane xSplit="2" topLeftCell="C1" activePane="topRight" state="frozen"/>
      <selection pane="topRight" activeCell="D2" sqref="D2"/>
    </sheetView>
  </sheetViews>
  <sheetFormatPr baseColWidth="10" defaultColWidth="12.6640625" defaultRowHeight="15" customHeight="1" x14ac:dyDescent="0.2"/>
  <cols>
    <col min="1" max="1" width="29.83203125" customWidth="1"/>
    <col min="2" max="2" width="11.6640625" customWidth="1"/>
    <col min="3" max="3" width="13.6640625" customWidth="1"/>
    <col min="4" max="5" width="15.1640625" customWidth="1"/>
    <col min="6" max="6" width="18" customWidth="1"/>
    <col min="7" max="11" width="15.1640625" customWidth="1"/>
    <col min="12" max="12" width="14.83203125" customWidth="1"/>
    <col min="13" max="13" width="15.1640625" customWidth="1"/>
    <col min="14" max="14" width="16" customWidth="1"/>
    <col min="15" max="16" width="15.1640625" customWidth="1"/>
    <col min="17" max="17" width="15.6640625" customWidth="1"/>
    <col min="18" max="30" width="15.1640625" customWidth="1"/>
    <col min="31" max="31" width="15.6640625" customWidth="1"/>
    <col min="32" max="32" width="13.6640625" customWidth="1"/>
    <col min="33" max="36" width="15.1640625" customWidth="1"/>
    <col min="37" max="38" width="13.6640625" customWidth="1"/>
    <col min="39" max="39" width="16.1640625" customWidth="1"/>
    <col min="40" max="40" width="15" customWidth="1"/>
    <col min="41" max="41" width="12.6640625" customWidth="1"/>
    <col min="42" max="42" width="14.6640625" customWidth="1"/>
    <col min="43" max="43" width="18.1640625" customWidth="1"/>
  </cols>
  <sheetData>
    <row r="1" spans="1:43" ht="14.2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  <c r="AO1" s="3"/>
      <c r="AP1" s="3"/>
      <c r="AQ1" s="3"/>
    </row>
    <row r="2" spans="1:43" ht="14.2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3"/>
      <c r="AO2" s="4"/>
      <c r="AP2" s="5" t="s">
        <v>1</v>
      </c>
      <c r="AQ2" s="6"/>
    </row>
    <row r="3" spans="1:43" ht="14.25" customHeight="1" x14ac:dyDescent="0.2">
      <c r="A3" s="2"/>
      <c r="B3" s="2"/>
      <c r="C3" s="7">
        <v>44713</v>
      </c>
      <c r="D3" s="7">
        <v>44743</v>
      </c>
      <c r="E3" s="7">
        <v>44774</v>
      </c>
      <c r="F3" s="7">
        <v>44805</v>
      </c>
      <c r="G3" s="7">
        <v>44835</v>
      </c>
      <c r="H3" s="7">
        <v>44866</v>
      </c>
      <c r="I3" s="7">
        <v>44896</v>
      </c>
      <c r="J3" s="7">
        <v>44927</v>
      </c>
      <c r="K3" s="7">
        <v>44958</v>
      </c>
      <c r="L3" s="7">
        <v>44986</v>
      </c>
      <c r="M3" s="7">
        <v>45017</v>
      </c>
      <c r="N3" s="7">
        <v>45047</v>
      </c>
      <c r="O3" s="7">
        <v>45078</v>
      </c>
      <c r="P3" s="7">
        <v>45108</v>
      </c>
      <c r="Q3" s="7">
        <v>45139</v>
      </c>
      <c r="R3" s="7">
        <v>45170</v>
      </c>
      <c r="S3" s="7">
        <v>45200</v>
      </c>
      <c r="T3" s="7">
        <v>45231</v>
      </c>
      <c r="U3" s="7">
        <v>45261</v>
      </c>
      <c r="V3" s="7">
        <v>45292</v>
      </c>
      <c r="W3" s="7">
        <v>45323</v>
      </c>
      <c r="X3" s="7">
        <v>45352</v>
      </c>
      <c r="Y3" s="7">
        <v>45383</v>
      </c>
      <c r="Z3" s="7">
        <v>45413</v>
      </c>
      <c r="AA3" s="7">
        <v>45444</v>
      </c>
      <c r="AB3" s="7">
        <v>45474</v>
      </c>
      <c r="AC3" s="7">
        <v>45505</v>
      </c>
      <c r="AD3" s="7">
        <v>45536</v>
      </c>
      <c r="AE3" s="7">
        <v>45566</v>
      </c>
      <c r="AF3" s="7">
        <v>45597</v>
      </c>
      <c r="AG3" s="7">
        <v>45627</v>
      </c>
      <c r="AH3" s="7">
        <v>45658</v>
      </c>
      <c r="AI3" s="7">
        <v>45689</v>
      </c>
      <c r="AJ3" s="7">
        <v>45717</v>
      </c>
      <c r="AK3" s="7">
        <v>45748</v>
      </c>
      <c r="AL3" s="7">
        <v>45778</v>
      </c>
      <c r="AM3" s="8" t="s">
        <v>2</v>
      </c>
      <c r="AN3" s="9"/>
      <c r="AO3" s="10"/>
      <c r="AP3" s="10" t="s">
        <v>3</v>
      </c>
      <c r="AQ3" s="11">
        <v>1935270675</v>
      </c>
    </row>
    <row r="4" spans="1:43" ht="14.25" customHeight="1" x14ac:dyDescent="0.2">
      <c r="A4" s="12" t="s">
        <v>4</v>
      </c>
      <c r="B4" s="13" t="s">
        <v>5</v>
      </c>
      <c r="C4" s="14" t="s">
        <v>6</v>
      </c>
      <c r="D4" s="14" t="s">
        <v>6</v>
      </c>
      <c r="E4" s="14" t="s">
        <v>6</v>
      </c>
      <c r="F4" s="14" t="s">
        <v>6</v>
      </c>
      <c r="G4" s="13">
        <v>0</v>
      </c>
      <c r="H4" s="13">
        <v>725000</v>
      </c>
      <c r="I4" s="13">
        <v>1301987828.1400001</v>
      </c>
      <c r="J4" s="13">
        <v>1832989884.5699999</v>
      </c>
      <c r="K4" s="13">
        <v>1923907310.1199999</v>
      </c>
      <c r="L4" s="13">
        <v>67557944.870000005</v>
      </c>
      <c r="M4" s="13">
        <v>55813687.82</v>
      </c>
      <c r="N4" s="13">
        <v>54918062.450000003</v>
      </c>
      <c r="O4" s="13">
        <v>1536833.5</v>
      </c>
      <c r="P4" s="13">
        <v>68275017.900000006</v>
      </c>
      <c r="Q4" s="13">
        <v>33216883.5</v>
      </c>
      <c r="R4" s="13">
        <v>211751221.97999999</v>
      </c>
      <c r="S4" s="13">
        <v>215740463.47999999</v>
      </c>
      <c r="T4" s="13">
        <v>116360532.33</v>
      </c>
      <c r="U4" s="13">
        <v>35241948.729999997</v>
      </c>
      <c r="V4" s="15">
        <v>72823505.530000001</v>
      </c>
      <c r="W4" s="15">
        <v>34888074.710000001</v>
      </c>
      <c r="X4" s="13">
        <v>34406409.060000002</v>
      </c>
      <c r="Y4" s="13">
        <v>123253329.61</v>
      </c>
      <c r="Z4" s="13">
        <v>21592746.609999999</v>
      </c>
      <c r="AA4" s="13">
        <v>28935343.710000001</v>
      </c>
      <c r="AB4" s="13">
        <v>20659030.109999999</v>
      </c>
      <c r="AC4" s="13">
        <v>22615352.609999999</v>
      </c>
      <c r="AD4" s="13">
        <v>27549769.09</v>
      </c>
      <c r="AE4" s="13">
        <v>7989877.5899999999</v>
      </c>
      <c r="AF4" s="13">
        <v>163481.44</v>
      </c>
      <c r="AG4" s="13">
        <v>50834885.939999998</v>
      </c>
      <c r="AH4" s="13">
        <v>6220865.2300000004</v>
      </c>
      <c r="AI4" s="13">
        <v>391096795.38</v>
      </c>
      <c r="AJ4" s="13">
        <v>363369374.43000001</v>
      </c>
      <c r="AK4" s="13">
        <v>277085086.18000001</v>
      </c>
      <c r="AL4" s="13">
        <v>322263089.02999997</v>
      </c>
      <c r="AM4" s="16"/>
      <c r="AN4" s="17"/>
      <c r="AO4" s="18"/>
      <c r="AP4" s="18" t="s">
        <v>7</v>
      </c>
      <c r="AQ4" s="18">
        <f>AK7+AK12+AK17+AL27</f>
        <v>440367341.18000001</v>
      </c>
    </row>
    <row r="5" spans="1:43" ht="14.25" customHeight="1" x14ac:dyDescent="0.2">
      <c r="A5" s="13"/>
      <c r="B5" s="13" t="s">
        <v>8</v>
      </c>
      <c r="C5" s="14" t="s">
        <v>6</v>
      </c>
      <c r="D5" s="14" t="s">
        <v>6</v>
      </c>
      <c r="E5" s="14" t="s">
        <v>6</v>
      </c>
      <c r="F5" s="14" t="s">
        <v>6</v>
      </c>
      <c r="G5" s="13">
        <v>1000000</v>
      </c>
      <c r="H5" s="13">
        <v>1301292828.1400001</v>
      </c>
      <c r="I5" s="13">
        <v>2390032056.4299998</v>
      </c>
      <c r="J5" s="13">
        <v>2226947425.5500002</v>
      </c>
      <c r="K5" s="13">
        <v>1454090736.75</v>
      </c>
      <c r="L5" s="13">
        <v>1750551242.95</v>
      </c>
      <c r="M5" s="13">
        <v>1755357074.6300001</v>
      </c>
      <c r="N5" s="13">
        <v>1118211871.05</v>
      </c>
      <c r="O5" s="13">
        <v>1094768184.4000001</v>
      </c>
      <c r="P5" s="13">
        <v>1047686191.2</v>
      </c>
      <c r="Q5" s="13">
        <v>878564338.48000002</v>
      </c>
      <c r="R5" s="13">
        <v>784019241.5</v>
      </c>
      <c r="S5" s="13">
        <v>900650068.85000002</v>
      </c>
      <c r="T5" s="13">
        <v>818911416.39999998</v>
      </c>
      <c r="U5" s="13">
        <v>687611556.79999995</v>
      </c>
      <c r="V5" s="15">
        <v>602094569.17999995</v>
      </c>
      <c r="W5" s="15">
        <v>429548334.35000002</v>
      </c>
      <c r="X5" s="13">
        <v>638876920.54999995</v>
      </c>
      <c r="Y5" s="13">
        <v>448369417</v>
      </c>
      <c r="Z5" s="13">
        <v>481372597.10000002</v>
      </c>
      <c r="AA5" s="13">
        <v>385753686.39999998</v>
      </c>
      <c r="AB5" s="13">
        <v>410986322.5</v>
      </c>
      <c r="AC5" s="13">
        <v>357964416.48000002</v>
      </c>
      <c r="AD5" s="13">
        <v>357470108.5</v>
      </c>
      <c r="AE5" s="13">
        <v>607203603.85000002</v>
      </c>
      <c r="AF5" s="13">
        <v>561701404.5</v>
      </c>
      <c r="AG5" s="13">
        <v>805415979.28999996</v>
      </c>
      <c r="AH5" s="13">
        <v>806905930.14999998</v>
      </c>
      <c r="AI5" s="13">
        <v>672302579.04999995</v>
      </c>
      <c r="AJ5" s="13">
        <v>663745711.75</v>
      </c>
      <c r="AK5" s="13">
        <v>295208002.85000002</v>
      </c>
      <c r="AL5" s="13">
        <v>394800937.64999998</v>
      </c>
      <c r="AM5" s="16">
        <f t="shared" ref="AM5:AM6" si="0">SUM(C5:AL5)</f>
        <v>27129414754.279999</v>
      </c>
      <c r="AN5" s="17"/>
      <c r="AO5" s="18"/>
      <c r="AP5" s="18" t="s">
        <v>9</v>
      </c>
      <c r="AQ5" s="18">
        <f>AM5+AM15</f>
        <v>38047787788.279999</v>
      </c>
    </row>
    <row r="6" spans="1:43" ht="14.25" customHeight="1" x14ac:dyDescent="0.2">
      <c r="A6" s="13"/>
      <c r="B6" s="13" t="s">
        <v>10</v>
      </c>
      <c r="C6" s="14" t="s">
        <v>6</v>
      </c>
      <c r="D6" s="14" t="s">
        <v>6</v>
      </c>
      <c r="E6" s="14" t="s">
        <v>6</v>
      </c>
      <c r="F6" s="14" t="s">
        <v>6</v>
      </c>
      <c r="G6" s="13">
        <v>275000</v>
      </c>
      <c r="H6" s="13">
        <v>30000</v>
      </c>
      <c r="I6" s="13">
        <v>1859030000</v>
      </c>
      <c r="J6" s="13">
        <v>2136030000</v>
      </c>
      <c r="K6" s="13">
        <v>3310440102</v>
      </c>
      <c r="L6" s="13">
        <v>1762295500</v>
      </c>
      <c r="M6" s="13">
        <v>1756252700</v>
      </c>
      <c r="N6" s="13">
        <v>1171593100</v>
      </c>
      <c r="O6" s="13">
        <v>1028030000</v>
      </c>
      <c r="P6" s="13">
        <v>1082744325.5999999</v>
      </c>
      <c r="Q6" s="13">
        <v>700030000</v>
      </c>
      <c r="R6" s="13">
        <v>780030000</v>
      </c>
      <c r="S6" s="13">
        <v>1000030000</v>
      </c>
      <c r="T6" s="13">
        <v>900030000</v>
      </c>
      <c r="U6" s="19">
        <v>650030000</v>
      </c>
      <c r="V6" s="13">
        <v>640030000</v>
      </c>
      <c r="W6" s="15">
        <v>430030000</v>
      </c>
      <c r="X6" s="13">
        <v>550030000</v>
      </c>
      <c r="Y6" s="13">
        <v>550030000</v>
      </c>
      <c r="Z6" s="13">
        <v>474030000</v>
      </c>
      <c r="AA6" s="13">
        <v>394030000</v>
      </c>
      <c r="AB6" s="13">
        <v>409030000</v>
      </c>
      <c r="AC6" s="13">
        <v>353030000</v>
      </c>
      <c r="AD6" s="13">
        <v>377030000</v>
      </c>
      <c r="AE6" s="13">
        <v>615030000</v>
      </c>
      <c r="AF6" s="13">
        <v>511030000</v>
      </c>
      <c r="AG6" s="13">
        <v>850030000</v>
      </c>
      <c r="AH6" s="13">
        <v>422030000</v>
      </c>
      <c r="AI6" s="13">
        <v>700030000</v>
      </c>
      <c r="AJ6" s="13">
        <v>750030000</v>
      </c>
      <c r="AK6" s="13">
        <v>250030000</v>
      </c>
      <c r="AL6" s="13">
        <v>650030000</v>
      </c>
      <c r="AM6" s="16">
        <f t="shared" si="0"/>
        <v>27062380727.599998</v>
      </c>
      <c r="AN6" s="17"/>
      <c r="AO6" s="18"/>
      <c r="AP6" s="18" t="s">
        <v>11</v>
      </c>
      <c r="AQ6" s="18">
        <v>16200000000</v>
      </c>
    </row>
    <row r="7" spans="1:43" ht="14.25" customHeight="1" x14ac:dyDescent="0.2">
      <c r="A7" s="13"/>
      <c r="B7" s="13" t="s">
        <v>12</v>
      </c>
      <c r="C7" s="14" t="s">
        <v>6</v>
      </c>
      <c r="D7" s="14" t="s">
        <v>6</v>
      </c>
      <c r="E7" s="14" t="s">
        <v>6</v>
      </c>
      <c r="F7" s="14" t="s">
        <v>6</v>
      </c>
      <c r="G7" s="13">
        <v>725000</v>
      </c>
      <c r="H7" s="13">
        <v>1301987828.1400001</v>
      </c>
      <c r="I7" s="13">
        <v>1832989884.5699999</v>
      </c>
      <c r="J7" s="13">
        <v>1923907310.1199999</v>
      </c>
      <c r="K7" s="13">
        <v>67557944.870000005</v>
      </c>
      <c r="L7" s="13">
        <v>55813687.82</v>
      </c>
      <c r="M7" s="13">
        <v>54918062.450000003</v>
      </c>
      <c r="N7" s="13">
        <v>1536833.5</v>
      </c>
      <c r="O7" s="13">
        <v>68275017.900000006</v>
      </c>
      <c r="P7" s="13">
        <v>33216883.5</v>
      </c>
      <c r="Q7" s="13">
        <v>211751221.97999999</v>
      </c>
      <c r="R7" s="13">
        <v>215740463.47999999</v>
      </c>
      <c r="S7" s="13">
        <v>116360532.33</v>
      </c>
      <c r="T7" s="13">
        <v>35241948.729999997</v>
      </c>
      <c r="U7" s="19">
        <v>72823505.530000001</v>
      </c>
      <c r="V7" s="15">
        <v>34888074.710000001</v>
      </c>
      <c r="W7" s="15">
        <v>34406409.060000002</v>
      </c>
      <c r="X7" s="13">
        <v>123253329.61</v>
      </c>
      <c r="Y7" s="13">
        <v>21592746.609999999</v>
      </c>
      <c r="Z7" s="13">
        <v>28935343.710000001</v>
      </c>
      <c r="AA7" s="13">
        <v>20659030.109999999</v>
      </c>
      <c r="AB7" s="13">
        <v>22615352.609999999</v>
      </c>
      <c r="AC7" s="13">
        <v>27549769.09</v>
      </c>
      <c r="AD7" s="13">
        <v>7989877.5899999999</v>
      </c>
      <c r="AE7" s="13">
        <v>163481.44</v>
      </c>
      <c r="AF7" s="13">
        <v>50834885.939999998</v>
      </c>
      <c r="AG7" s="13">
        <v>6220865.2300000004</v>
      </c>
      <c r="AH7" s="13">
        <v>391096795.38</v>
      </c>
      <c r="AI7" s="13">
        <v>363369374.43000001</v>
      </c>
      <c r="AJ7" s="13">
        <v>277085086.18000001</v>
      </c>
      <c r="AK7" s="13">
        <v>322263089.02999997</v>
      </c>
      <c r="AL7" s="13">
        <v>67034026.68</v>
      </c>
      <c r="AM7" s="16"/>
      <c r="AN7" s="17">
        <f>AM5-AM6-AL7</f>
        <v>3.0547380447387695E-7</v>
      </c>
      <c r="AO7" s="20"/>
      <c r="AP7" s="21" t="s">
        <v>13</v>
      </c>
      <c r="AQ7" s="22">
        <f>SUM(AQ3:AQ6)</f>
        <v>56623425804.459999</v>
      </c>
    </row>
    <row r="8" spans="1:43" ht="14.25" customHeight="1" x14ac:dyDescent="0.2">
      <c r="A8" s="13"/>
      <c r="B8" s="13"/>
      <c r="C8" s="2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24"/>
      <c r="AM8" s="17"/>
      <c r="AN8" s="17"/>
      <c r="AO8" s="17"/>
      <c r="AP8" s="17"/>
      <c r="AQ8" s="17"/>
    </row>
    <row r="9" spans="1:43" ht="14.25" customHeight="1" x14ac:dyDescent="0.2">
      <c r="A9" s="12" t="s">
        <v>14</v>
      </c>
      <c r="B9" s="13" t="s">
        <v>5</v>
      </c>
      <c r="C9" s="25">
        <v>0</v>
      </c>
      <c r="D9" s="13">
        <v>970000</v>
      </c>
      <c r="E9" s="13">
        <v>1340340000</v>
      </c>
      <c r="F9" s="13">
        <v>3049986516</v>
      </c>
      <c r="G9" s="13">
        <v>3918103542</v>
      </c>
      <c r="H9" s="13">
        <v>2363797580</v>
      </c>
      <c r="I9" s="13">
        <v>629777433</v>
      </c>
      <c r="J9" s="13">
        <v>61767666</v>
      </c>
      <c r="K9" s="13">
        <v>56116662</v>
      </c>
      <c r="L9" s="13">
        <v>62520562</v>
      </c>
      <c r="M9" s="13">
        <v>79521609</v>
      </c>
      <c r="N9" s="13">
        <v>56232059</v>
      </c>
      <c r="O9" s="13">
        <v>3359486</v>
      </c>
      <c r="P9" s="13">
        <v>25426710</v>
      </c>
      <c r="Q9" s="13">
        <v>67502522</v>
      </c>
      <c r="R9" s="13">
        <v>170828802</v>
      </c>
      <c r="S9" s="13">
        <v>730532304</v>
      </c>
      <c r="T9" s="13">
        <v>359153327</v>
      </c>
      <c r="U9" s="13">
        <v>361826526</v>
      </c>
      <c r="V9" s="13">
        <v>72890437</v>
      </c>
      <c r="W9" s="13">
        <v>51430210</v>
      </c>
      <c r="X9" s="13">
        <v>142585390</v>
      </c>
      <c r="Y9" s="13">
        <v>96902784</v>
      </c>
      <c r="Z9" s="13">
        <v>16680430.74</v>
      </c>
      <c r="AA9" s="13">
        <v>37161261.740000002</v>
      </c>
      <c r="AB9" s="13">
        <v>3532416.74</v>
      </c>
      <c r="AC9" s="13">
        <v>85157994.739999995</v>
      </c>
      <c r="AD9" s="13">
        <v>181357317.74000001</v>
      </c>
      <c r="AE9" s="13">
        <v>57120932.740000002</v>
      </c>
      <c r="AF9" s="13">
        <v>82431222.739999995</v>
      </c>
      <c r="AG9" s="13">
        <v>223719773.74000001</v>
      </c>
      <c r="AH9" s="13">
        <f t="shared" ref="AH9:AJ9" si="1">AG12</f>
        <v>15918060.74</v>
      </c>
      <c r="AI9" s="13">
        <f t="shared" si="1"/>
        <v>138041137.74000001</v>
      </c>
      <c r="AJ9" s="13">
        <f t="shared" si="1"/>
        <v>481910521.74000001</v>
      </c>
      <c r="AK9" s="13">
        <v>76602703.109999999</v>
      </c>
      <c r="AL9" s="24">
        <v>34203275.109999999</v>
      </c>
      <c r="AM9" s="16"/>
      <c r="AN9" s="17"/>
      <c r="AO9" s="17"/>
      <c r="AP9" s="26" t="s">
        <v>15</v>
      </c>
      <c r="AQ9" s="26">
        <f>AM11</f>
        <v>62817640985.629997</v>
      </c>
    </row>
    <row r="10" spans="1:43" ht="14.25" customHeight="1" x14ac:dyDescent="0.2">
      <c r="A10" s="13"/>
      <c r="B10" s="13" t="s">
        <v>8</v>
      </c>
      <c r="C10" s="25">
        <v>1000000</v>
      </c>
      <c r="D10" s="13">
        <v>2840000000</v>
      </c>
      <c r="E10" s="13">
        <v>2520000000</v>
      </c>
      <c r="F10" s="13">
        <v>2148000000</v>
      </c>
      <c r="G10" s="13">
        <v>0</v>
      </c>
      <c r="H10" s="13">
        <v>454055210</v>
      </c>
      <c r="I10" s="13">
        <v>2712774603</v>
      </c>
      <c r="J10" s="13">
        <v>3349204938</v>
      </c>
      <c r="K10" s="13">
        <v>3235361137</v>
      </c>
      <c r="L10" s="13">
        <v>2727194793</v>
      </c>
      <c r="M10" s="13">
        <v>1881406547</v>
      </c>
      <c r="N10" s="13">
        <v>1617680704</v>
      </c>
      <c r="O10" s="13">
        <v>1455095731</v>
      </c>
      <c r="P10" s="13">
        <v>1901133500</v>
      </c>
      <c r="Q10" s="13">
        <v>2080005738</v>
      </c>
      <c r="R10" s="13">
        <v>4960341600</v>
      </c>
      <c r="S10" s="13">
        <v>3865819991</v>
      </c>
      <c r="T10" s="13">
        <v>1571249113</v>
      </c>
      <c r="U10" s="13">
        <v>1245060854</v>
      </c>
      <c r="V10" s="13">
        <v>1436261000</v>
      </c>
      <c r="W10" s="13">
        <v>1420372205</v>
      </c>
      <c r="X10" s="13">
        <v>1322053902</v>
      </c>
      <c r="Y10" s="13">
        <v>1329346684.74</v>
      </c>
      <c r="Z10" s="13">
        <v>1306074574</v>
      </c>
      <c r="AA10" s="13">
        <v>1187886694</v>
      </c>
      <c r="AB10" s="13">
        <v>1609718787</v>
      </c>
      <c r="AC10" s="13">
        <v>1631706060</v>
      </c>
      <c r="AD10" s="13">
        <v>1196587631</v>
      </c>
      <c r="AE10" s="13">
        <v>1382585814</v>
      </c>
      <c r="AF10" s="13">
        <v>1418358020</v>
      </c>
      <c r="AG10" s="13">
        <v>1408193730</v>
      </c>
      <c r="AH10" s="13">
        <v>1482674084</v>
      </c>
      <c r="AI10" s="13">
        <v>1148895581</v>
      </c>
      <c r="AJ10" s="13">
        <v>1263505842</v>
      </c>
      <c r="AK10" s="13">
        <v>751978693</v>
      </c>
      <c r="AL10" s="24">
        <v>987212724</v>
      </c>
      <c r="AM10" s="16">
        <f t="shared" ref="AM10:AM11" si="2">SUM(C10:AL10)</f>
        <v>62848796484.739998</v>
      </c>
      <c r="AN10" s="17"/>
      <c r="AO10" s="17"/>
      <c r="AP10" s="17"/>
      <c r="AQ10" s="17"/>
    </row>
    <row r="11" spans="1:43" ht="14.25" customHeight="1" x14ac:dyDescent="0.2">
      <c r="A11" s="13"/>
      <c r="B11" s="13" t="s">
        <v>10</v>
      </c>
      <c r="C11" s="25">
        <v>30000</v>
      </c>
      <c r="D11" s="13">
        <v>1500630000</v>
      </c>
      <c r="E11" s="13">
        <v>810353484</v>
      </c>
      <c r="F11" s="13">
        <v>1279882974</v>
      </c>
      <c r="G11" s="13">
        <v>1554305962</v>
      </c>
      <c r="H11" s="13">
        <v>2188075357</v>
      </c>
      <c r="I11" s="13">
        <v>3280784370</v>
      </c>
      <c r="J11" s="13">
        <v>3354855942</v>
      </c>
      <c r="K11" s="13">
        <v>3228957237</v>
      </c>
      <c r="L11" s="13">
        <v>2710193746</v>
      </c>
      <c r="M11" s="13">
        <v>1904696097</v>
      </c>
      <c r="N11" s="13">
        <v>1670553277</v>
      </c>
      <c r="O11" s="13">
        <v>1433028507</v>
      </c>
      <c r="P11" s="13">
        <v>1859057688</v>
      </c>
      <c r="Q11" s="13">
        <v>1976679458</v>
      </c>
      <c r="R11" s="13">
        <v>4400638098</v>
      </c>
      <c r="S11" s="13">
        <v>4237198968</v>
      </c>
      <c r="T11" s="13">
        <v>1568575914</v>
      </c>
      <c r="U11" s="13">
        <v>1533996943</v>
      </c>
      <c r="V11" s="13">
        <v>1457721227</v>
      </c>
      <c r="W11" s="13">
        <v>1329217025</v>
      </c>
      <c r="X11" s="13">
        <v>1367736508</v>
      </c>
      <c r="Y11" s="13">
        <v>1409569038</v>
      </c>
      <c r="Z11" s="13">
        <v>1285593743</v>
      </c>
      <c r="AA11" s="13">
        <v>1221515539</v>
      </c>
      <c r="AB11" s="13">
        <v>1528093209</v>
      </c>
      <c r="AC11" s="13">
        <v>1535506737</v>
      </c>
      <c r="AD11" s="13">
        <v>1320824016</v>
      </c>
      <c r="AE11" s="13">
        <v>1357275524</v>
      </c>
      <c r="AF11" s="13">
        <v>1277069469</v>
      </c>
      <c r="AG11" s="13">
        <v>1615995443</v>
      </c>
      <c r="AH11" s="13">
        <v>1360551007</v>
      </c>
      <c r="AI11" s="13">
        <v>805026197</v>
      </c>
      <c r="AJ11" s="13">
        <v>1668813660.6300001</v>
      </c>
      <c r="AK11" s="13">
        <v>794378121</v>
      </c>
      <c r="AL11" s="24">
        <v>990260500</v>
      </c>
      <c r="AM11" s="16">
        <f t="shared" si="2"/>
        <v>62817640985.629997</v>
      </c>
      <c r="AN11" s="17"/>
      <c r="AO11" s="17"/>
      <c r="AP11" s="26" t="s">
        <v>16</v>
      </c>
      <c r="AQ11" s="26">
        <f>AQ7-AQ9</f>
        <v>-6194215181.1699982</v>
      </c>
    </row>
    <row r="12" spans="1:43" ht="14.25" customHeight="1" x14ac:dyDescent="0.2">
      <c r="A12" s="13"/>
      <c r="B12" s="13" t="s">
        <v>12</v>
      </c>
      <c r="C12" s="25">
        <v>970000</v>
      </c>
      <c r="D12" s="13">
        <v>1340340000</v>
      </c>
      <c r="E12" s="13">
        <v>3049986516</v>
      </c>
      <c r="F12" s="13">
        <v>3918103542</v>
      </c>
      <c r="G12" s="13">
        <v>2363797580</v>
      </c>
      <c r="H12" s="13">
        <v>629777433</v>
      </c>
      <c r="I12" s="13">
        <v>61767666</v>
      </c>
      <c r="J12" s="13">
        <v>56116662</v>
      </c>
      <c r="K12" s="13">
        <v>62520562</v>
      </c>
      <c r="L12" s="13">
        <v>79521609</v>
      </c>
      <c r="M12" s="13">
        <v>56232059</v>
      </c>
      <c r="N12" s="13">
        <v>3359486</v>
      </c>
      <c r="O12" s="13">
        <v>25426710</v>
      </c>
      <c r="P12" s="13">
        <v>67502522</v>
      </c>
      <c r="Q12" s="13">
        <v>170828802</v>
      </c>
      <c r="R12" s="13">
        <v>730532304</v>
      </c>
      <c r="S12" s="13">
        <v>359153327</v>
      </c>
      <c r="T12" s="13">
        <v>361826526</v>
      </c>
      <c r="U12" s="13">
        <v>72890437</v>
      </c>
      <c r="V12" s="13">
        <v>51430210</v>
      </c>
      <c r="W12" s="13">
        <v>142585390</v>
      </c>
      <c r="X12" s="13">
        <v>96902784</v>
      </c>
      <c r="Y12" s="13">
        <v>16680430.74</v>
      </c>
      <c r="Z12" s="13">
        <v>37161261.740000002</v>
      </c>
      <c r="AA12" s="13">
        <v>3532416.74</v>
      </c>
      <c r="AB12" s="13">
        <v>85157994.739999995</v>
      </c>
      <c r="AC12" s="13">
        <v>181357317.74000001</v>
      </c>
      <c r="AD12" s="13">
        <v>57120932.740000002</v>
      </c>
      <c r="AE12" s="13">
        <v>82431222.739999995</v>
      </c>
      <c r="AF12" s="13">
        <v>223719773.74000001</v>
      </c>
      <c r="AG12" s="13">
        <v>15918060.74</v>
      </c>
      <c r="AH12" s="13">
        <v>138041137.74000001</v>
      </c>
      <c r="AI12" s="13">
        <f t="shared" ref="AI12:AJ12" si="3">AI9+AI10-AI11</f>
        <v>481910521.74000001</v>
      </c>
      <c r="AJ12" s="13">
        <f t="shared" si="3"/>
        <v>76602703.109999895</v>
      </c>
      <c r="AK12" s="13">
        <v>34203275.109999999</v>
      </c>
      <c r="AL12" s="24">
        <v>37251051.109999999</v>
      </c>
      <c r="AM12" s="16"/>
      <c r="AN12" s="17">
        <f>AM10-AM11-AL12</f>
        <v>-6095551.9999993891</v>
      </c>
      <c r="AO12" s="17"/>
      <c r="AP12" s="17"/>
      <c r="AQ12" s="17"/>
    </row>
    <row r="13" spans="1:43" ht="14.25" customHeight="1" x14ac:dyDescent="0.2">
      <c r="A13" s="2"/>
      <c r="B13" s="2"/>
      <c r="C13" s="2"/>
      <c r="D13" s="2"/>
      <c r="E13" s="2"/>
      <c r="F13" s="2"/>
      <c r="G13" s="23"/>
      <c r="H13" s="23"/>
      <c r="I13" s="23"/>
      <c r="J13" s="27"/>
      <c r="K13" s="27"/>
      <c r="L13" s="27"/>
      <c r="M13" s="27"/>
      <c r="N13" s="27"/>
      <c r="O13" s="27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"/>
      <c r="AM13" s="17"/>
      <c r="AN13" s="17"/>
      <c r="AO13" s="17"/>
      <c r="AP13" s="17"/>
      <c r="AQ13" s="17"/>
    </row>
    <row r="14" spans="1:43" ht="14.25" customHeight="1" x14ac:dyDescent="0.2">
      <c r="A14" s="29" t="s">
        <v>17</v>
      </c>
      <c r="B14" s="2" t="s">
        <v>5</v>
      </c>
      <c r="C14" s="30" t="s">
        <v>6</v>
      </c>
      <c r="D14" s="30" t="s">
        <v>6</v>
      </c>
      <c r="E14" s="30" t="s">
        <v>6</v>
      </c>
      <c r="F14" s="30" t="s">
        <v>6</v>
      </c>
      <c r="G14" s="31">
        <v>0</v>
      </c>
      <c r="H14" s="31">
        <v>5000000</v>
      </c>
      <c r="I14" s="31">
        <v>518565946</v>
      </c>
      <c r="J14" s="32">
        <v>589460397</v>
      </c>
      <c r="K14" s="32">
        <v>650206989</v>
      </c>
      <c r="L14" s="32">
        <v>95761054</v>
      </c>
      <c r="M14" s="32">
        <v>612632450</v>
      </c>
      <c r="N14" s="32">
        <v>305591498</v>
      </c>
      <c r="O14" s="32">
        <v>160126389</v>
      </c>
      <c r="P14" s="28">
        <v>230585594</v>
      </c>
      <c r="Q14" s="28">
        <v>446364338</v>
      </c>
      <c r="R14" s="28">
        <v>370884111</v>
      </c>
      <c r="S14" s="28">
        <v>229533510</v>
      </c>
      <c r="T14" s="28">
        <v>171187861</v>
      </c>
      <c r="U14" s="28">
        <v>141027109</v>
      </c>
      <c r="V14" s="28">
        <v>122358563</v>
      </c>
      <c r="W14" s="28">
        <v>114325176</v>
      </c>
      <c r="X14" s="28">
        <v>28475253</v>
      </c>
      <c r="Y14" s="28">
        <v>238568157</v>
      </c>
      <c r="Z14" s="28">
        <v>1142767</v>
      </c>
      <c r="AA14" s="28">
        <v>1096004</v>
      </c>
      <c r="AB14" s="28">
        <v>82046131</v>
      </c>
      <c r="AC14" s="28">
        <v>1311085</v>
      </c>
      <c r="AD14" s="28">
        <v>1652952</v>
      </c>
      <c r="AE14" s="28">
        <v>16456942</v>
      </c>
      <c r="AF14" s="28">
        <v>2506545</v>
      </c>
      <c r="AG14" s="28">
        <v>14619216</v>
      </c>
      <c r="AH14" s="28">
        <v>4013247</v>
      </c>
      <c r="AI14" s="28">
        <v>205204391</v>
      </c>
      <c r="AJ14" s="28">
        <v>92378690</v>
      </c>
      <c r="AK14" s="28">
        <v>33672644</v>
      </c>
      <c r="AL14" s="13">
        <v>39026928</v>
      </c>
      <c r="AM14" s="16"/>
      <c r="AN14" s="17"/>
      <c r="AO14" s="17"/>
      <c r="AP14" s="17"/>
      <c r="AQ14" s="17"/>
    </row>
    <row r="15" spans="1:43" ht="14.25" customHeight="1" x14ac:dyDescent="0.2">
      <c r="A15" s="2" t="s">
        <v>18</v>
      </c>
      <c r="B15" s="2" t="s">
        <v>8</v>
      </c>
      <c r="C15" s="30" t="s">
        <v>6</v>
      </c>
      <c r="D15" s="30" t="s">
        <v>6</v>
      </c>
      <c r="E15" s="30" t="s">
        <v>6</v>
      </c>
      <c r="F15" s="30" t="s">
        <v>6</v>
      </c>
      <c r="G15" s="31">
        <v>5000000</v>
      </c>
      <c r="H15" s="31">
        <v>513589673</v>
      </c>
      <c r="I15" s="31">
        <v>570991180</v>
      </c>
      <c r="J15" s="33">
        <v>61193207</v>
      </c>
      <c r="K15" s="34">
        <v>232980520</v>
      </c>
      <c r="L15" s="34">
        <v>721690147</v>
      </c>
      <c r="M15" s="34">
        <v>143072973</v>
      </c>
      <c r="N15" s="34">
        <v>329784147</v>
      </c>
      <c r="O15" s="34">
        <v>220692441</v>
      </c>
      <c r="P15" s="35">
        <v>616029664</v>
      </c>
      <c r="Q15" s="35">
        <v>524827443</v>
      </c>
      <c r="R15" s="28">
        <v>308962699</v>
      </c>
      <c r="S15" s="28">
        <v>441912540</v>
      </c>
      <c r="T15" s="28">
        <v>270097556</v>
      </c>
      <c r="U15" s="28">
        <v>381574203</v>
      </c>
      <c r="V15" s="28">
        <v>342214908</v>
      </c>
      <c r="W15" s="28">
        <v>184375843</v>
      </c>
      <c r="X15" s="28">
        <v>310310111</v>
      </c>
      <c r="Y15" s="28">
        <v>182798589</v>
      </c>
      <c r="Z15" s="28">
        <v>390170511</v>
      </c>
      <c r="AA15" s="28">
        <v>436170193</v>
      </c>
      <c r="AB15" s="28">
        <v>309489247</v>
      </c>
      <c r="AC15" s="28">
        <v>285575356</v>
      </c>
      <c r="AD15" s="28">
        <v>300022071</v>
      </c>
      <c r="AE15" s="28">
        <v>248267379</v>
      </c>
      <c r="AF15" s="28">
        <v>233332848</v>
      </c>
      <c r="AG15" s="28">
        <v>352624179</v>
      </c>
      <c r="AH15" s="28">
        <v>350411184</v>
      </c>
      <c r="AI15" s="28">
        <v>287421713</v>
      </c>
      <c r="AJ15" s="28">
        <v>441525736</v>
      </c>
      <c r="AK15" s="28">
        <v>505597954</v>
      </c>
      <c r="AL15" s="13">
        <v>415666819</v>
      </c>
      <c r="AM15" s="16">
        <f t="shared" ref="AM15:AM16" si="4">SUM(C15:AL15)</f>
        <v>10918373034</v>
      </c>
      <c r="AN15" s="17"/>
      <c r="AO15" s="17"/>
      <c r="AP15" s="17"/>
      <c r="AQ15" s="17"/>
    </row>
    <row r="16" spans="1:43" ht="14.25" customHeight="1" x14ac:dyDescent="0.2">
      <c r="A16" s="2"/>
      <c r="B16" s="2" t="s">
        <v>10</v>
      </c>
      <c r="C16" s="30" t="s">
        <v>6</v>
      </c>
      <c r="D16" s="30" t="s">
        <v>6</v>
      </c>
      <c r="E16" s="30" t="s">
        <v>6</v>
      </c>
      <c r="F16" s="30" t="s">
        <v>6</v>
      </c>
      <c r="G16" s="31">
        <v>0</v>
      </c>
      <c r="H16" s="31">
        <v>23727</v>
      </c>
      <c r="I16" s="31">
        <v>500096729</v>
      </c>
      <c r="J16" s="31">
        <v>446615</v>
      </c>
      <c r="K16" s="36">
        <v>787426455</v>
      </c>
      <c r="L16" s="36">
        <v>204818751</v>
      </c>
      <c r="M16" s="36">
        <v>450113925</v>
      </c>
      <c r="N16" s="36">
        <v>475249256</v>
      </c>
      <c r="O16" s="36">
        <v>150233236</v>
      </c>
      <c r="P16" s="35">
        <v>400250920</v>
      </c>
      <c r="Q16" s="35">
        <v>600307670</v>
      </c>
      <c r="R16" s="28">
        <v>450313300</v>
      </c>
      <c r="S16" s="28">
        <v>500258189</v>
      </c>
      <c r="T16" s="28">
        <v>300258308</v>
      </c>
      <c r="U16" s="28">
        <v>400242749</v>
      </c>
      <c r="V16" s="28">
        <v>350248295</v>
      </c>
      <c r="W16" s="28">
        <v>270225766</v>
      </c>
      <c r="X16" s="28">
        <v>100217207</v>
      </c>
      <c r="Y16" s="28">
        <v>420223979</v>
      </c>
      <c r="Z16" s="28">
        <v>390217274</v>
      </c>
      <c r="AA16" s="28">
        <v>355220066</v>
      </c>
      <c r="AB16" s="28">
        <v>390224293</v>
      </c>
      <c r="AC16" s="28">
        <v>285233489</v>
      </c>
      <c r="AD16" s="28">
        <v>285218081</v>
      </c>
      <c r="AE16" s="28">
        <v>262217776</v>
      </c>
      <c r="AF16" s="28">
        <v>221220177</v>
      </c>
      <c r="AG16" s="28">
        <v>363230148</v>
      </c>
      <c r="AH16" s="28">
        <v>149220040</v>
      </c>
      <c r="AI16" s="28">
        <v>400247414</v>
      </c>
      <c r="AJ16" s="28">
        <v>500231782</v>
      </c>
      <c r="AK16" s="28">
        <v>500243670</v>
      </c>
      <c r="AL16" s="13">
        <v>340222745</v>
      </c>
      <c r="AM16" s="16">
        <f t="shared" si="4"/>
        <v>10803902032</v>
      </c>
      <c r="AN16" s="17"/>
      <c r="AO16" s="17"/>
      <c r="AP16" s="17"/>
      <c r="AQ16" s="17"/>
    </row>
    <row r="17" spans="1:43" ht="14.25" customHeight="1" x14ac:dyDescent="0.2">
      <c r="A17" s="2"/>
      <c r="B17" s="2" t="s">
        <v>12</v>
      </c>
      <c r="C17" s="30" t="s">
        <v>6</v>
      </c>
      <c r="D17" s="30" t="s">
        <v>6</v>
      </c>
      <c r="E17" s="30" t="s">
        <v>6</v>
      </c>
      <c r="F17" s="30" t="s">
        <v>6</v>
      </c>
      <c r="G17" s="31">
        <v>5000000</v>
      </c>
      <c r="H17" s="31">
        <v>518565946</v>
      </c>
      <c r="I17" s="31">
        <v>589460397</v>
      </c>
      <c r="J17" s="32">
        <v>650206989</v>
      </c>
      <c r="K17" s="32">
        <v>95761054</v>
      </c>
      <c r="L17" s="32">
        <v>612632450</v>
      </c>
      <c r="M17" s="32">
        <v>305591498</v>
      </c>
      <c r="N17" s="32">
        <v>160126389</v>
      </c>
      <c r="O17" s="32">
        <v>230585594</v>
      </c>
      <c r="P17" s="28">
        <v>446364338</v>
      </c>
      <c r="Q17" s="28">
        <v>370884111</v>
      </c>
      <c r="R17" s="28">
        <v>229533510</v>
      </c>
      <c r="S17" s="28">
        <v>171187861</v>
      </c>
      <c r="T17" s="28">
        <v>141027109</v>
      </c>
      <c r="U17" s="28">
        <v>122358563</v>
      </c>
      <c r="V17" s="28">
        <v>114325176</v>
      </c>
      <c r="W17" s="28">
        <v>28475253</v>
      </c>
      <c r="X17" s="28">
        <v>238568157</v>
      </c>
      <c r="Y17" s="28">
        <v>1142767</v>
      </c>
      <c r="Z17" s="28">
        <v>1096004</v>
      </c>
      <c r="AA17" s="28">
        <v>82046131</v>
      </c>
      <c r="AB17" s="28">
        <v>1311085</v>
      </c>
      <c r="AC17" s="28">
        <v>1652952</v>
      </c>
      <c r="AD17" s="28">
        <v>16456942</v>
      </c>
      <c r="AE17" s="28">
        <v>2506545</v>
      </c>
      <c r="AF17" s="28">
        <v>14619216</v>
      </c>
      <c r="AG17" s="28">
        <v>4013247</v>
      </c>
      <c r="AH17" s="28">
        <v>205204391</v>
      </c>
      <c r="AI17" s="28">
        <v>92378690</v>
      </c>
      <c r="AJ17" s="28">
        <v>33672644</v>
      </c>
      <c r="AK17" s="28">
        <v>39026928</v>
      </c>
      <c r="AL17" s="13">
        <v>114471002</v>
      </c>
      <c r="AM17" s="16"/>
      <c r="AN17" s="17">
        <f>AM15-AM16-AL17</f>
        <v>0</v>
      </c>
      <c r="AO17" s="17"/>
      <c r="AP17" s="17"/>
      <c r="AQ17" s="17"/>
    </row>
    <row r="18" spans="1:43" ht="14.25" customHeight="1" x14ac:dyDescent="0.2">
      <c r="A18" s="18"/>
      <c r="B18" s="13"/>
      <c r="C18" s="14"/>
      <c r="D18" s="14"/>
      <c r="E18" s="14"/>
      <c r="F18" s="14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7"/>
      <c r="AN18" s="17"/>
      <c r="AO18" s="17"/>
      <c r="AP18" s="17"/>
      <c r="AQ18" s="17"/>
    </row>
    <row r="19" spans="1:43" ht="14.25" customHeight="1" x14ac:dyDescent="0.2">
      <c r="A19" s="12" t="s">
        <v>19</v>
      </c>
      <c r="B19" s="13" t="s">
        <v>5</v>
      </c>
      <c r="C19" s="14" t="s">
        <v>6</v>
      </c>
      <c r="D19" s="14" t="s">
        <v>6</v>
      </c>
      <c r="E19" s="14" t="s">
        <v>6</v>
      </c>
      <c r="F19" s="14" t="s">
        <v>6</v>
      </c>
      <c r="G19" s="13">
        <v>0</v>
      </c>
      <c r="H19" s="13">
        <v>1000000</v>
      </c>
      <c r="I19" s="13">
        <v>1000405</v>
      </c>
      <c r="J19" s="13">
        <v>1001215</v>
      </c>
      <c r="K19" s="13">
        <v>1002052</v>
      </c>
      <c r="L19" s="13">
        <v>1002889</v>
      </c>
      <c r="M19" s="13">
        <v>1003645</v>
      </c>
      <c r="N19" s="13">
        <v>1004482</v>
      </c>
      <c r="O19" s="13">
        <v>1005322</v>
      </c>
      <c r="P19" s="13">
        <v>1006190</v>
      </c>
      <c r="Q19" s="13">
        <v>1007030</v>
      </c>
      <c r="R19" s="13" t="s">
        <v>6</v>
      </c>
      <c r="S19" s="13" t="s">
        <v>6</v>
      </c>
      <c r="T19" s="13">
        <v>1007898</v>
      </c>
      <c r="U19" s="13">
        <v>1008766</v>
      </c>
      <c r="V19" s="13" t="s">
        <v>6</v>
      </c>
      <c r="W19" s="13" t="s">
        <v>6</v>
      </c>
      <c r="X19" s="13" t="s">
        <v>6</v>
      </c>
      <c r="Y19" s="13" t="s">
        <v>6</v>
      </c>
      <c r="Z19" s="13" t="s">
        <v>6</v>
      </c>
      <c r="AA19" s="13" t="s">
        <v>6</v>
      </c>
      <c r="AB19" s="13" t="s">
        <v>6</v>
      </c>
      <c r="AC19" s="13" t="s">
        <v>6</v>
      </c>
      <c r="AD19" s="13" t="s">
        <v>6</v>
      </c>
      <c r="AE19" s="13" t="s">
        <v>6</v>
      </c>
      <c r="AF19" s="13" t="s">
        <v>6</v>
      </c>
      <c r="AG19" s="13" t="s">
        <v>6</v>
      </c>
      <c r="AH19" s="13" t="s">
        <v>6</v>
      </c>
      <c r="AI19" s="13" t="s">
        <v>6</v>
      </c>
      <c r="AJ19" s="13" t="s">
        <v>6</v>
      </c>
      <c r="AK19" s="13" t="s">
        <v>6</v>
      </c>
      <c r="AL19" s="13" t="s">
        <v>6</v>
      </c>
      <c r="AM19" s="16"/>
      <c r="AN19" s="17"/>
      <c r="AO19" s="17"/>
      <c r="AP19" s="17"/>
      <c r="AQ19" s="17"/>
    </row>
    <row r="20" spans="1:43" ht="14.25" customHeight="1" x14ac:dyDescent="0.2">
      <c r="A20" s="13" t="s">
        <v>18</v>
      </c>
      <c r="B20" s="13" t="s">
        <v>8</v>
      </c>
      <c r="C20" s="14" t="s">
        <v>6</v>
      </c>
      <c r="D20" s="14" t="s">
        <v>6</v>
      </c>
      <c r="E20" s="14" t="s">
        <v>6</v>
      </c>
      <c r="F20" s="14" t="s">
        <v>6</v>
      </c>
      <c r="G20" s="13">
        <v>1000000</v>
      </c>
      <c r="H20" s="13">
        <v>405</v>
      </c>
      <c r="I20" s="13">
        <v>810</v>
      </c>
      <c r="J20" s="13">
        <v>837</v>
      </c>
      <c r="K20" s="13">
        <v>837</v>
      </c>
      <c r="L20" s="13">
        <v>756</v>
      </c>
      <c r="M20" s="13">
        <v>837</v>
      </c>
      <c r="N20" s="13">
        <v>840</v>
      </c>
      <c r="O20" s="13">
        <v>868</v>
      </c>
      <c r="P20" s="13">
        <v>840</v>
      </c>
      <c r="Q20" s="13">
        <v>868</v>
      </c>
      <c r="R20" s="13" t="s">
        <v>6</v>
      </c>
      <c r="S20" s="13" t="s">
        <v>6</v>
      </c>
      <c r="T20" s="13">
        <v>868</v>
      </c>
      <c r="U20" s="13">
        <v>840</v>
      </c>
      <c r="V20" s="13" t="s">
        <v>6</v>
      </c>
      <c r="W20" s="13" t="s">
        <v>6</v>
      </c>
      <c r="X20" s="13" t="s">
        <v>6</v>
      </c>
      <c r="Y20" s="13" t="s">
        <v>6</v>
      </c>
      <c r="Z20" s="13" t="s">
        <v>6</v>
      </c>
      <c r="AA20" s="13" t="s">
        <v>6</v>
      </c>
      <c r="AB20" s="13" t="s">
        <v>6</v>
      </c>
      <c r="AC20" s="13" t="s">
        <v>6</v>
      </c>
      <c r="AD20" s="13" t="s">
        <v>6</v>
      </c>
      <c r="AE20" s="13" t="s">
        <v>6</v>
      </c>
      <c r="AF20" s="13" t="s">
        <v>6</v>
      </c>
      <c r="AG20" s="13" t="s">
        <v>6</v>
      </c>
      <c r="AH20" s="13" t="s">
        <v>6</v>
      </c>
      <c r="AI20" s="13" t="s">
        <v>6</v>
      </c>
      <c r="AJ20" s="13" t="s">
        <v>6</v>
      </c>
      <c r="AK20" s="13" t="s">
        <v>6</v>
      </c>
      <c r="AL20" s="13" t="s">
        <v>6</v>
      </c>
      <c r="AM20" s="16">
        <f t="shared" ref="AM20:AM21" si="5">SUM(C20:AL20)</f>
        <v>1009606</v>
      </c>
      <c r="AN20" s="17"/>
      <c r="AO20" s="17"/>
      <c r="AP20" s="17"/>
      <c r="AQ20" s="17"/>
    </row>
    <row r="21" spans="1:43" ht="14.25" customHeight="1" x14ac:dyDescent="0.2">
      <c r="A21" s="13"/>
      <c r="B21" s="13" t="s">
        <v>10</v>
      </c>
      <c r="C21" s="14" t="s">
        <v>6</v>
      </c>
      <c r="D21" s="14" t="s">
        <v>6</v>
      </c>
      <c r="E21" s="14" t="s">
        <v>6</v>
      </c>
      <c r="F21" s="14" t="s">
        <v>6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 t="s">
        <v>6</v>
      </c>
      <c r="S21" s="13" t="s">
        <v>6</v>
      </c>
      <c r="T21" s="13">
        <v>0</v>
      </c>
      <c r="U21" s="13">
        <v>0</v>
      </c>
      <c r="V21" s="13" t="s">
        <v>6</v>
      </c>
      <c r="W21" s="13" t="s">
        <v>6</v>
      </c>
      <c r="X21" s="13" t="s">
        <v>6</v>
      </c>
      <c r="Y21" s="13" t="s">
        <v>6</v>
      </c>
      <c r="Z21" s="13" t="s">
        <v>6</v>
      </c>
      <c r="AA21" s="13" t="s">
        <v>6</v>
      </c>
      <c r="AB21" s="13" t="s">
        <v>6</v>
      </c>
      <c r="AC21" s="13" t="s">
        <v>6</v>
      </c>
      <c r="AD21" s="13" t="s">
        <v>6</v>
      </c>
      <c r="AE21" s="13" t="s">
        <v>6</v>
      </c>
      <c r="AF21" s="13" t="s">
        <v>6</v>
      </c>
      <c r="AG21" s="13" t="s">
        <v>6</v>
      </c>
      <c r="AH21" s="13" t="s">
        <v>6</v>
      </c>
      <c r="AI21" s="13" t="s">
        <v>6</v>
      </c>
      <c r="AJ21" s="13" t="s">
        <v>6</v>
      </c>
      <c r="AK21" s="13" t="s">
        <v>6</v>
      </c>
      <c r="AL21" s="13" t="s">
        <v>6</v>
      </c>
      <c r="AM21" s="16">
        <f t="shared" si="5"/>
        <v>0</v>
      </c>
      <c r="AN21" s="17"/>
      <c r="AO21" s="17"/>
      <c r="AP21" s="17"/>
      <c r="AQ21" s="17"/>
    </row>
    <row r="22" spans="1:43" ht="14.25" customHeight="1" x14ac:dyDescent="0.2">
      <c r="A22" s="13"/>
      <c r="B22" s="13" t="s">
        <v>12</v>
      </c>
      <c r="C22" s="14" t="s">
        <v>6</v>
      </c>
      <c r="D22" s="14" t="s">
        <v>6</v>
      </c>
      <c r="E22" s="14" t="s">
        <v>6</v>
      </c>
      <c r="F22" s="14" t="s">
        <v>6</v>
      </c>
      <c r="G22" s="13">
        <v>1000000</v>
      </c>
      <c r="H22" s="13">
        <v>1000405</v>
      </c>
      <c r="I22" s="13">
        <v>1001215</v>
      </c>
      <c r="J22" s="13">
        <v>1002052</v>
      </c>
      <c r="K22" s="13">
        <v>1002889</v>
      </c>
      <c r="L22" s="13">
        <v>1003645</v>
      </c>
      <c r="M22" s="13">
        <v>1004482</v>
      </c>
      <c r="N22" s="13">
        <v>1005322</v>
      </c>
      <c r="O22" s="13">
        <v>1006190</v>
      </c>
      <c r="P22" s="13">
        <v>1007030</v>
      </c>
      <c r="Q22" s="13">
        <v>1007898</v>
      </c>
      <c r="R22" s="13" t="s">
        <v>6</v>
      </c>
      <c r="S22" s="13" t="s">
        <v>6</v>
      </c>
      <c r="T22" s="13">
        <v>1008766</v>
      </c>
      <c r="U22" s="13">
        <v>1009606</v>
      </c>
      <c r="V22" s="13" t="s">
        <v>6</v>
      </c>
      <c r="W22" s="13" t="s">
        <v>6</v>
      </c>
      <c r="X22" s="13" t="s">
        <v>6</v>
      </c>
      <c r="Y22" s="13" t="s">
        <v>6</v>
      </c>
      <c r="Z22" s="13" t="s">
        <v>6</v>
      </c>
      <c r="AA22" s="13" t="s">
        <v>6</v>
      </c>
      <c r="AB22" s="13" t="s">
        <v>6</v>
      </c>
      <c r="AC22" s="13" t="s">
        <v>6</v>
      </c>
      <c r="AD22" s="13" t="s">
        <v>6</v>
      </c>
      <c r="AE22" s="13" t="s">
        <v>6</v>
      </c>
      <c r="AF22" s="13" t="s">
        <v>6</v>
      </c>
      <c r="AG22" s="13" t="s">
        <v>6</v>
      </c>
      <c r="AH22" s="13" t="s">
        <v>6</v>
      </c>
      <c r="AI22" s="13" t="s">
        <v>6</v>
      </c>
      <c r="AJ22" s="13" t="s">
        <v>6</v>
      </c>
      <c r="AK22" s="13" t="s">
        <v>6</v>
      </c>
      <c r="AL22" s="13" t="s">
        <v>6</v>
      </c>
      <c r="AM22" s="16"/>
      <c r="AN22" s="17">
        <f>AM20-AM21-U22</f>
        <v>0</v>
      </c>
      <c r="AO22" s="17"/>
      <c r="AP22" s="17"/>
      <c r="AQ22" s="17"/>
    </row>
    <row r="23" spans="1:43" ht="14.25" customHeight="1" x14ac:dyDescent="0.2">
      <c r="A23" s="18"/>
      <c r="B23" s="13"/>
      <c r="C23" s="30"/>
      <c r="D23" s="30"/>
      <c r="E23" s="30"/>
      <c r="F23" s="30"/>
      <c r="G23" s="30"/>
      <c r="H23" s="30"/>
      <c r="I23" s="30"/>
      <c r="J23" s="30"/>
      <c r="K23" s="30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37"/>
      <c r="AE23" s="13"/>
      <c r="AF23" s="13"/>
      <c r="AG23" s="13"/>
      <c r="AH23" s="13"/>
      <c r="AI23" s="37"/>
      <c r="AJ23" s="13"/>
      <c r="AK23" s="13"/>
      <c r="AL23" s="13"/>
      <c r="AM23" s="17"/>
      <c r="AN23" s="18"/>
      <c r="AO23" s="18"/>
      <c r="AP23" s="18"/>
      <c r="AQ23" s="18"/>
    </row>
    <row r="24" spans="1:43" ht="14.25" customHeight="1" x14ac:dyDescent="0.2">
      <c r="A24" s="12" t="s">
        <v>20</v>
      </c>
      <c r="B24" s="13" t="s">
        <v>5</v>
      </c>
      <c r="C24" s="30" t="s">
        <v>6</v>
      </c>
      <c r="D24" s="30" t="s">
        <v>6</v>
      </c>
      <c r="E24" s="30" t="s">
        <v>6</v>
      </c>
      <c r="F24" s="30" t="s">
        <v>6</v>
      </c>
      <c r="G24" s="30" t="s">
        <v>6</v>
      </c>
      <c r="H24" s="30" t="s">
        <v>6</v>
      </c>
      <c r="I24" s="30" t="s">
        <v>6</v>
      </c>
      <c r="J24" s="30" t="s">
        <v>6</v>
      </c>
      <c r="K24" s="30" t="s">
        <v>6</v>
      </c>
      <c r="L24" s="13">
        <v>15000000</v>
      </c>
      <c r="M24" s="13">
        <v>14881495.779999999</v>
      </c>
      <c r="N24" s="13">
        <v>13863857.359999999</v>
      </c>
      <c r="O24" s="13">
        <v>13825914.810000001</v>
      </c>
      <c r="P24" s="13">
        <v>13828903.59</v>
      </c>
      <c r="Q24" s="13">
        <v>17347795.829999998</v>
      </c>
      <c r="R24" s="13">
        <v>30615896.050000001</v>
      </c>
      <c r="S24" s="13">
        <v>32373278.59</v>
      </c>
      <c r="T24" s="13">
        <v>32343815.57</v>
      </c>
      <c r="U24" s="13">
        <v>34676003.390000001</v>
      </c>
      <c r="V24" s="13">
        <v>34646978.710000001</v>
      </c>
      <c r="W24" s="13">
        <v>45093126.259999998</v>
      </c>
      <c r="X24" s="13">
        <v>45089508.409999996</v>
      </c>
      <c r="Y24" s="13">
        <v>45077066.450000003</v>
      </c>
      <c r="Z24" s="13">
        <v>45070177.32</v>
      </c>
      <c r="AA24" s="13">
        <v>45066347.630000003</v>
      </c>
      <c r="AB24" s="13">
        <v>45053424.359999999</v>
      </c>
      <c r="AC24" s="13">
        <v>45046662.509999998</v>
      </c>
      <c r="AD24" s="37">
        <v>45035532.869999997</v>
      </c>
      <c r="AE24" s="13">
        <v>45039285.060000002</v>
      </c>
      <c r="AF24" s="13">
        <v>45022164.380000003</v>
      </c>
      <c r="AG24" s="13">
        <v>45005187.740000002</v>
      </c>
      <c r="AH24" s="13">
        <v>44988190.07</v>
      </c>
      <c r="AI24" s="37">
        <v>44962439.630000003</v>
      </c>
      <c r="AJ24" s="13">
        <v>44940150.939999998</v>
      </c>
      <c r="AK24" s="13">
        <v>44921777.939999998</v>
      </c>
      <c r="AL24" s="13">
        <v>44899798.18</v>
      </c>
      <c r="AM24" s="16"/>
      <c r="AN24" s="18"/>
      <c r="AO24" s="18"/>
      <c r="AP24" s="18"/>
      <c r="AQ24" s="18"/>
    </row>
    <row r="25" spans="1:43" ht="14.25" customHeight="1" x14ac:dyDescent="0.2">
      <c r="A25" s="2" t="s">
        <v>18</v>
      </c>
      <c r="B25" s="13" t="s">
        <v>8</v>
      </c>
      <c r="C25" s="30" t="s">
        <v>6</v>
      </c>
      <c r="D25" s="30" t="s">
        <v>6</v>
      </c>
      <c r="E25" s="30" t="s">
        <v>6</v>
      </c>
      <c r="F25" s="30" t="s">
        <v>6</v>
      </c>
      <c r="G25" s="30" t="s">
        <v>6</v>
      </c>
      <c r="H25" s="30" t="s">
        <v>6</v>
      </c>
      <c r="I25" s="30" t="s">
        <v>6</v>
      </c>
      <c r="J25" s="30" t="s">
        <v>6</v>
      </c>
      <c r="K25" s="30" t="s">
        <v>6</v>
      </c>
      <c r="L25" s="13">
        <v>15001869.720000001</v>
      </c>
      <c r="M25" s="13">
        <v>2951.98</v>
      </c>
      <c r="N25" s="13">
        <v>2910.11</v>
      </c>
      <c r="O25" s="13">
        <v>2786.7</v>
      </c>
      <c r="P25" s="13">
        <v>2988.78</v>
      </c>
      <c r="Q25" s="13">
        <v>12857729.529999999</v>
      </c>
      <c r="R25" s="13">
        <v>5456647.1699999999</v>
      </c>
      <c r="S25" s="13">
        <v>299566.23</v>
      </c>
      <c r="T25" s="13">
        <v>2368586.02</v>
      </c>
      <c r="U25" s="13">
        <v>7469.15</v>
      </c>
      <c r="V25" s="13">
        <v>10075484.189999999</v>
      </c>
      <c r="W25" s="13">
        <v>401192.04</v>
      </c>
      <c r="X25" s="13">
        <v>9438.1200000000008</v>
      </c>
      <c r="Y25" s="13">
        <v>9445.66</v>
      </c>
      <c r="Z25" s="13">
        <v>24384.57</v>
      </c>
      <c r="AA25" s="13">
        <v>8662.65</v>
      </c>
      <c r="AB25" s="13">
        <v>8809.26</v>
      </c>
      <c r="AC25" s="13">
        <v>38812.28</v>
      </c>
      <c r="AD25" s="13">
        <v>8525.68</v>
      </c>
      <c r="AE25" s="13">
        <v>3752.19</v>
      </c>
      <c r="AF25" s="13">
        <v>3629.76</v>
      </c>
      <c r="AG25" s="37">
        <v>3749.31</v>
      </c>
      <c r="AH25" s="37">
        <v>3752.19</v>
      </c>
      <c r="AI25" s="13">
        <v>3389.14</v>
      </c>
      <c r="AJ25" s="13">
        <v>25749.89</v>
      </c>
      <c r="AK25" s="13">
        <v>3627.42</v>
      </c>
      <c r="AL25" s="13">
        <v>3745.72</v>
      </c>
      <c r="AM25" s="16">
        <f t="shared" ref="AM25:AM26" si="6">SUM(C25:AL25)</f>
        <v>46639655.459999986</v>
      </c>
      <c r="AN25" s="18"/>
      <c r="AO25" s="18"/>
      <c r="AP25" s="18"/>
      <c r="AQ25" s="18"/>
    </row>
    <row r="26" spans="1:43" ht="14.25" customHeight="1" x14ac:dyDescent="0.2">
      <c r="A26" s="2"/>
      <c r="B26" s="13" t="s">
        <v>10</v>
      </c>
      <c r="C26" s="30" t="s">
        <v>6</v>
      </c>
      <c r="D26" s="30" t="s">
        <v>6</v>
      </c>
      <c r="E26" s="30" t="s">
        <v>6</v>
      </c>
      <c r="F26" s="30" t="s">
        <v>6</v>
      </c>
      <c r="G26" s="30" t="s">
        <v>6</v>
      </c>
      <c r="H26" s="30" t="s">
        <v>6</v>
      </c>
      <c r="I26" s="30" t="s">
        <v>6</v>
      </c>
      <c r="J26" s="30" t="s">
        <v>6</v>
      </c>
      <c r="K26" s="30" t="s">
        <v>6</v>
      </c>
      <c r="L26" s="13">
        <v>20373.939999999999</v>
      </c>
      <c r="M26" s="13">
        <v>120590.39999999999</v>
      </c>
      <c r="N26" s="13">
        <v>1023082.02</v>
      </c>
      <c r="O26" s="13">
        <v>20557.34</v>
      </c>
      <c r="P26" s="13">
        <v>20597.759999999998</v>
      </c>
      <c r="Q26" s="13">
        <v>20718.310000000001</v>
      </c>
      <c r="R26" s="13">
        <v>21330.63</v>
      </c>
      <c r="S26" s="13">
        <v>21384.25</v>
      </c>
      <c r="T26" s="13">
        <v>36398.199999999997</v>
      </c>
      <c r="U26" s="13">
        <v>36493.83</v>
      </c>
      <c r="V26" s="13">
        <v>36848.639999999999</v>
      </c>
      <c r="W26" s="13">
        <v>21736.01</v>
      </c>
      <c r="X26" s="13">
        <v>21887.62</v>
      </c>
      <c r="Y26" s="13">
        <v>21889.13</v>
      </c>
      <c r="Z26" s="13">
        <v>21876.91</v>
      </c>
      <c r="AA26" s="13">
        <v>21732.53</v>
      </c>
      <c r="AB26" s="13">
        <v>21761.85</v>
      </c>
      <c r="AC26" s="13">
        <v>21762.46</v>
      </c>
      <c r="AD26" s="13">
        <v>21705.14</v>
      </c>
      <c r="AE26" s="13">
        <v>20750.439999999999</v>
      </c>
      <c r="AF26" s="37">
        <v>20725.95</v>
      </c>
      <c r="AG26" s="13">
        <v>20749.86</v>
      </c>
      <c r="AH26" s="13">
        <v>25750.44</v>
      </c>
      <c r="AI26" s="13">
        <v>25677.83</v>
      </c>
      <c r="AJ26" s="13">
        <v>3749.47</v>
      </c>
      <c r="AK26" s="13">
        <v>25725.48</v>
      </c>
      <c r="AL26" s="13">
        <v>25749.14</v>
      </c>
      <c r="AM26" s="16">
        <f t="shared" si="6"/>
        <v>1721605.5799999998</v>
      </c>
      <c r="AN26" s="18"/>
      <c r="AO26" s="18"/>
      <c r="AP26" s="18"/>
      <c r="AQ26" s="18"/>
    </row>
    <row r="27" spans="1:43" ht="14.25" customHeight="1" x14ac:dyDescent="0.2">
      <c r="A27" s="2"/>
      <c r="B27" s="13" t="s">
        <v>12</v>
      </c>
      <c r="C27" s="38" t="s">
        <v>6</v>
      </c>
      <c r="D27" s="38" t="s">
        <v>6</v>
      </c>
      <c r="E27" s="38" t="s">
        <v>6</v>
      </c>
      <c r="F27" s="38" t="s">
        <v>6</v>
      </c>
      <c r="G27" s="38" t="s">
        <v>6</v>
      </c>
      <c r="H27" s="38" t="s">
        <v>6</v>
      </c>
      <c r="I27" s="38" t="s">
        <v>6</v>
      </c>
      <c r="J27" s="38" t="s">
        <v>6</v>
      </c>
      <c r="K27" s="38" t="s">
        <v>6</v>
      </c>
      <c r="L27" s="39">
        <v>14981495.779999999</v>
      </c>
      <c r="M27" s="39">
        <v>14863857.359999999</v>
      </c>
      <c r="N27" s="39">
        <v>13843685.449999999</v>
      </c>
      <c r="O27" s="39">
        <v>13846472.15</v>
      </c>
      <c r="P27" s="39">
        <v>13808305.83</v>
      </c>
      <c r="Q27" s="39">
        <v>26645317.050000001</v>
      </c>
      <c r="R27" s="39">
        <v>32080633.59</v>
      </c>
      <c r="S27" s="39">
        <v>32358815.57</v>
      </c>
      <c r="T27" s="39">
        <v>34691003.390000001</v>
      </c>
      <c r="U27" s="39">
        <v>34661978.710000001</v>
      </c>
      <c r="V27" s="39">
        <v>44700614.259999998</v>
      </c>
      <c r="W27" s="39">
        <v>45080070.289999999</v>
      </c>
      <c r="X27" s="39">
        <v>45067620.789999999</v>
      </c>
      <c r="Y27" s="39">
        <v>45055177.32</v>
      </c>
      <c r="Z27" s="39">
        <v>45057684.979999997</v>
      </c>
      <c r="AA27" s="39">
        <v>45044615.100000001</v>
      </c>
      <c r="AB27" s="39">
        <v>45031662.509999998</v>
      </c>
      <c r="AC27" s="39">
        <v>45048712.329999998</v>
      </c>
      <c r="AD27" s="40">
        <v>45035532.869999997</v>
      </c>
      <c r="AE27" s="40">
        <v>45018534.619999997</v>
      </c>
      <c r="AF27" s="40">
        <v>45001438.43</v>
      </c>
      <c r="AG27" s="40">
        <v>44984437.880000003</v>
      </c>
      <c r="AH27" s="40">
        <v>44962439.630000003</v>
      </c>
      <c r="AI27" s="40">
        <v>44940150.939999998</v>
      </c>
      <c r="AJ27" s="40">
        <v>44918150.520000003</v>
      </c>
      <c r="AK27" s="40">
        <v>44896052.460000001</v>
      </c>
      <c r="AL27" s="13">
        <v>44874049.039999999</v>
      </c>
      <c r="AM27" s="16"/>
      <c r="AN27" s="13"/>
      <c r="AO27" s="3"/>
      <c r="AP27" s="3"/>
      <c r="AQ27" s="3"/>
    </row>
    <row r="28" spans="1:43" ht="14.25" customHeight="1" x14ac:dyDescent="0.2">
      <c r="A28" s="18"/>
      <c r="B28" s="13"/>
      <c r="C28" s="2"/>
      <c r="D28" s="2"/>
      <c r="E28" s="2"/>
      <c r="F28" s="2"/>
      <c r="G28" s="2"/>
      <c r="H28" s="23"/>
      <c r="I28" s="23"/>
      <c r="J28" s="39"/>
      <c r="K28" s="39"/>
      <c r="L28" s="39"/>
      <c r="M28" s="39"/>
      <c r="N28" s="39"/>
      <c r="O28" s="39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"/>
      <c r="AM28" s="2"/>
      <c r="AN28" s="13"/>
      <c r="AO28" s="3"/>
      <c r="AP28" s="3"/>
      <c r="AQ28" s="3"/>
    </row>
    <row r="29" spans="1:43" ht="14.25" customHeight="1" x14ac:dyDescent="0.2">
      <c r="A29" s="12" t="s">
        <v>21</v>
      </c>
      <c r="B29" s="13" t="s">
        <v>5</v>
      </c>
      <c r="C29" s="30" t="s">
        <v>6</v>
      </c>
      <c r="D29" s="30" t="s">
        <v>6</v>
      </c>
      <c r="E29" s="30" t="s">
        <v>6</v>
      </c>
      <c r="F29" s="30" t="s">
        <v>6</v>
      </c>
      <c r="G29" s="30" t="s">
        <v>6</v>
      </c>
      <c r="H29" s="30" t="s">
        <v>6</v>
      </c>
      <c r="I29" s="30" t="s">
        <v>6</v>
      </c>
      <c r="J29" s="30" t="s">
        <v>6</v>
      </c>
      <c r="K29" s="30" t="s">
        <v>6</v>
      </c>
      <c r="L29" s="30" t="s">
        <v>6</v>
      </c>
      <c r="M29" s="40">
        <v>2619855</v>
      </c>
      <c r="N29" s="40">
        <v>2594855</v>
      </c>
      <c r="O29" s="40">
        <v>9215043</v>
      </c>
      <c r="P29" s="41">
        <v>9191428</v>
      </c>
      <c r="Q29" s="41">
        <v>9167852</v>
      </c>
      <c r="R29" s="41">
        <v>16351737</v>
      </c>
      <c r="S29" s="41">
        <v>46254882</v>
      </c>
      <c r="T29" s="41">
        <v>49047074</v>
      </c>
      <c r="U29" s="41">
        <v>54586411</v>
      </c>
      <c r="V29" s="41">
        <v>54867506</v>
      </c>
      <c r="W29" s="41">
        <v>54861101</v>
      </c>
      <c r="X29" s="41">
        <v>54853498</v>
      </c>
      <c r="Y29" s="41">
        <v>60222741</v>
      </c>
      <c r="Z29" s="41">
        <v>60219265</v>
      </c>
      <c r="AA29" s="41">
        <v>60216497</v>
      </c>
      <c r="AB29" s="41">
        <v>60453672</v>
      </c>
      <c r="AC29" s="41">
        <v>15736158</v>
      </c>
      <c r="AD29" s="41">
        <v>1312500</v>
      </c>
      <c r="AE29" s="41">
        <v>3028095</v>
      </c>
      <c r="AF29" s="41">
        <v>11428027</v>
      </c>
      <c r="AG29" s="41">
        <v>27568308</v>
      </c>
      <c r="AH29" s="41">
        <v>1544228</v>
      </c>
      <c r="AI29" s="41">
        <v>1519231</v>
      </c>
      <c r="AJ29" s="41">
        <v>1494231</v>
      </c>
      <c r="AK29" s="41">
        <v>1474196</v>
      </c>
      <c r="AL29" s="13">
        <v>1449196</v>
      </c>
      <c r="AM29" s="16"/>
      <c r="AN29" s="13"/>
      <c r="AO29" s="3"/>
      <c r="AP29" s="3"/>
      <c r="AQ29" s="3"/>
    </row>
    <row r="30" spans="1:43" ht="14.25" customHeight="1" x14ac:dyDescent="0.2">
      <c r="A30" s="2" t="s">
        <v>18</v>
      </c>
      <c r="B30" s="13" t="s">
        <v>8</v>
      </c>
      <c r="C30" s="30" t="s">
        <v>6</v>
      </c>
      <c r="D30" s="30" t="s">
        <v>6</v>
      </c>
      <c r="E30" s="30" t="s">
        <v>6</v>
      </c>
      <c r="F30" s="30" t="s">
        <v>6</v>
      </c>
      <c r="G30" s="30" t="s">
        <v>6</v>
      </c>
      <c r="H30" s="30" t="s">
        <v>6</v>
      </c>
      <c r="I30" s="30" t="s">
        <v>6</v>
      </c>
      <c r="J30" s="30" t="s">
        <v>6</v>
      </c>
      <c r="K30" s="30" t="s">
        <v>6</v>
      </c>
      <c r="L30" s="30" t="s">
        <v>6</v>
      </c>
      <c r="M30" s="13">
        <v>0</v>
      </c>
      <c r="N30" s="13">
        <v>6645525</v>
      </c>
      <c r="O30" s="13">
        <v>1732</v>
      </c>
      <c r="P30" s="13">
        <v>1780</v>
      </c>
      <c r="Q30" s="13">
        <v>7209752</v>
      </c>
      <c r="R30" s="13">
        <v>29930718</v>
      </c>
      <c r="S30" s="13">
        <v>2820871</v>
      </c>
      <c r="T30" s="13">
        <v>5568491</v>
      </c>
      <c r="U30" s="13">
        <v>310745</v>
      </c>
      <c r="V30" s="13">
        <v>23244</v>
      </c>
      <c r="W30" s="13">
        <v>21745</v>
      </c>
      <c r="X30" s="13">
        <v>5399214</v>
      </c>
      <c r="Y30" s="13">
        <v>26903</v>
      </c>
      <c r="Z30" s="13">
        <v>27790</v>
      </c>
      <c r="AA30" s="13">
        <v>267584</v>
      </c>
      <c r="AB30" s="13">
        <v>5315048</v>
      </c>
      <c r="AC30" s="13">
        <v>15614342</v>
      </c>
      <c r="AD30" s="13">
        <v>1740595</v>
      </c>
      <c r="AE30" s="13">
        <v>8424932</v>
      </c>
      <c r="AF30" s="13">
        <v>16166170</v>
      </c>
      <c r="AG30" s="13">
        <v>9275</v>
      </c>
      <c r="AH30" s="13">
        <v>25000</v>
      </c>
      <c r="AI30" s="13">
        <v>0</v>
      </c>
      <c r="AJ30" s="13">
        <v>4965</v>
      </c>
      <c r="AK30" s="13">
        <v>0</v>
      </c>
      <c r="AL30" s="13">
        <v>3</v>
      </c>
      <c r="AM30" s="16">
        <f t="shared" ref="AM30:AM31" si="7">SUM(C30:AL30)</f>
        <v>105556424</v>
      </c>
      <c r="AN30" s="13"/>
      <c r="AO30" s="3"/>
      <c r="AP30" s="3"/>
      <c r="AQ30" s="3"/>
    </row>
    <row r="31" spans="1:43" ht="14.25" customHeight="1" x14ac:dyDescent="0.2">
      <c r="A31" s="2"/>
      <c r="B31" s="13" t="s">
        <v>10</v>
      </c>
      <c r="C31" s="30" t="s">
        <v>6</v>
      </c>
      <c r="D31" s="30" t="s">
        <v>6</v>
      </c>
      <c r="E31" s="30" t="s">
        <v>6</v>
      </c>
      <c r="F31" s="30" t="s">
        <v>6</v>
      </c>
      <c r="G31" s="30" t="s">
        <v>6</v>
      </c>
      <c r="H31" s="30" t="s">
        <v>6</v>
      </c>
      <c r="I31" s="30" t="s">
        <v>6</v>
      </c>
      <c r="J31" s="30" t="s">
        <v>6</v>
      </c>
      <c r="K31" s="30" t="s">
        <v>6</v>
      </c>
      <c r="L31" s="30" t="s">
        <v>6</v>
      </c>
      <c r="M31" s="13">
        <v>25000</v>
      </c>
      <c r="N31" s="13">
        <v>25337</v>
      </c>
      <c r="O31" s="13">
        <v>25347</v>
      </c>
      <c r="P31" s="13">
        <v>25356</v>
      </c>
      <c r="Q31" s="13">
        <v>25867</v>
      </c>
      <c r="R31" s="13">
        <v>27573</v>
      </c>
      <c r="S31" s="13">
        <v>28679</v>
      </c>
      <c r="T31" s="13">
        <v>29154</v>
      </c>
      <c r="U31" s="13">
        <v>29650</v>
      </c>
      <c r="V31" s="13">
        <v>29649</v>
      </c>
      <c r="W31" s="13">
        <v>29348</v>
      </c>
      <c r="X31" s="13">
        <v>29971</v>
      </c>
      <c r="Y31" s="13">
        <v>30379</v>
      </c>
      <c r="Z31" s="13">
        <v>30558</v>
      </c>
      <c r="AA31" s="13">
        <v>30409</v>
      </c>
      <c r="AB31" s="13">
        <v>50032562</v>
      </c>
      <c r="AC31" s="13">
        <v>30038000</v>
      </c>
      <c r="AD31" s="13">
        <v>25000</v>
      </c>
      <c r="AE31" s="13">
        <v>25000</v>
      </c>
      <c r="AF31" s="13">
        <v>25889</v>
      </c>
      <c r="AG31" s="13">
        <v>26033355</v>
      </c>
      <c r="AH31" s="13">
        <v>3</v>
      </c>
      <c r="AI31" s="13">
        <v>25000</v>
      </c>
      <c r="AJ31" s="13">
        <v>25000</v>
      </c>
      <c r="AK31" s="13">
        <v>25000</v>
      </c>
      <c r="AL31" s="13">
        <v>25000</v>
      </c>
      <c r="AM31" s="16">
        <f t="shared" si="7"/>
        <v>106702086</v>
      </c>
      <c r="AN31" s="42"/>
      <c r="AO31" s="3"/>
      <c r="AP31" s="3"/>
      <c r="AQ31" s="3"/>
    </row>
    <row r="32" spans="1:43" ht="14.25" customHeight="1" x14ac:dyDescent="0.2">
      <c r="A32" s="2"/>
      <c r="B32" s="13" t="s">
        <v>12</v>
      </c>
      <c r="C32" s="38" t="s">
        <v>6</v>
      </c>
      <c r="D32" s="38" t="s">
        <v>6</v>
      </c>
      <c r="E32" s="38" t="s">
        <v>6</v>
      </c>
      <c r="F32" s="38" t="s">
        <v>6</v>
      </c>
      <c r="G32" s="38" t="s">
        <v>6</v>
      </c>
      <c r="H32" s="38" t="s">
        <v>6</v>
      </c>
      <c r="I32" s="38" t="s">
        <v>6</v>
      </c>
      <c r="J32" s="38" t="s">
        <v>6</v>
      </c>
      <c r="K32" s="38" t="s">
        <v>6</v>
      </c>
      <c r="L32" s="38" t="s">
        <v>6</v>
      </c>
      <c r="M32" s="13">
        <v>2594855</v>
      </c>
      <c r="N32" s="13">
        <v>9215043</v>
      </c>
      <c r="O32" s="13">
        <v>9191428</v>
      </c>
      <c r="P32" s="13">
        <v>9167852</v>
      </c>
      <c r="Q32" s="13">
        <v>16351737</v>
      </c>
      <c r="R32" s="13">
        <v>46254882</v>
      </c>
      <c r="S32" s="13">
        <v>49047074</v>
      </c>
      <c r="T32" s="13">
        <v>54586411</v>
      </c>
      <c r="U32" s="13">
        <v>54867506</v>
      </c>
      <c r="V32" s="13">
        <v>54861101</v>
      </c>
      <c r="W32" s="13">
        <v>54853498</v>
      </c>
      <c r="X32" s="13">
        <v>60222741</v>
      </c>
      <c r="Y32" s="13">
        <v>60219265</v>
      </c>
      <c r="Z32" s="13">
        <v>60216497</v>
      </c>
      <c r="AA32" s="13">
        <v>60453672</v>
      </c>
      <c r="AB32" s="13">
        <v>15736158</v>
      </c>
      <c r="AC32" s="13">
        <v>1312500</v>
      </c>
      <c r="AD32" s="13">
        <v>3028095</v>
      </c>
      <c r="AE32" s="13">
        <v>11428027</v>
      </c>
      <c r="AF32" s="13">
        <v>27568308</v>
      </c>
      <c r="AG32" s="13">
        <v>1544228</v>
      </c>
      <c r="AH32" s="13">
        <v>1519231</v>
      </c>
      <c r="AI32" s="13">
        <v>1494231</v>
      </c>
      <c r="AJ32" s="13">
        <v>1474196</v>
      </c>
      <c r="AK32" s="13">
        <v>1449196</v>
      </c>
      <c r="AL32" s="13">
        <v>1424199</v>
      </c>
      <c r="AM32" s="16"/>
      <c r="AN32" s="3"/>
      <c r="AO32" s="3"/>
      <c r="AP32" s="3"/>
      <c r="AQ32" s="3"/>
    </row>
    <row r="33" spans="1:43" ht="14.2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3"/>
      <c r="AO33" s="3"/>
      <c r="AP33" s="3"/>
      <c r="AQ33" s="3"/>
    </row>
    <row r="34" spans="1:43" ht="14.2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3"/>
      <c r="AO34" s="3"/>
      <c r="AP34" s="3"/>
      <c r="AQ34" s="3"/>
    </row>
    <row r="35" spans="1:43" ht="14.2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3"/>
      <c r="AO35" s="3"/>
      <c r="AP35" s="3"/>
      <c r="AQ35" s="3"/>
    </row>
    <row r="36" spans="1:43" ht="14.2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3"/>
      <c r="AO36" s="3"/>
      <c r="AP36" s="3"/>
      <c r="AQ36" s="3"/>
    </row>
    <row r="37" spans="1:43" ht="14.2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3"/>
      <c r="AO37" s="3"/>
      <c r="AP37" s="3"/>
      <c r="AQ37" s="3"/>
    </row>
    <row r="38" spans="1:43" ht="14.2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3"/>
      <c r="AO38" s="3"/>
      <c r="AP38" s="3"/>
      <c r="AQ38" s="3"/>
    </row>
    <row r="39" spans="1:43" ht="14.2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3"/>
      <c r="AO39" s="3"/>
      <c r="AP39" s="3"/>
      <c r="AQ39" s="3"/>
    </row>
    <row r="40" spans="1:43" ht="14.2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3"/>
      <c r="AO40" s="3"/>
      <c r="AP40" s="3"/>
      <c r="AQ40" s="3"/>
    </row>
    <row r="41" spans="1:43" ht="14.2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3"/>
      <c r="AO41" s="3"/>
      <c r="AP41" s="3"/>
      <c r="AQ41" s="3"/>
    </row>
    <row r="42" spans="1:43" ht="14.2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3"/>
      <c r="AO42" s="3"/>
      <c r="AP42" s="3"/>
      <c r="AQ42" s="3"/>
    </row>
    <row r="43" spans="1:43" ht="14.2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3"/>
      <c r="AO43" s="3"/>
      <c r="AP43" s="3"/>
      <c r="AQ43" s="3"/>
    </row>
    <row r="44" spans="1:43" ht="14.2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3"/>
      <c r="AO44" s="3"/>
      <c r="AP44" s="3"/>
      <c r="AQ44" s="3"/>
    </row>
    <row r="45" spans="1:43" ht="14.2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3"/>
      <c r="AO45" s="3"/>
      <c r="AP45" s="3"/>
      <c r="AQ45" s="3"/>
    </row>
    <row r="46" spans="1:43" ht="14.2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3"/>
      <c r="AO46" s="3"/>
      <c r="AP46" s="3"/>
      <c r="AQ46" s="3"/>
    </row>
    <row r="47" spans="1:43" ht="14.2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3"/>
      <c r="AO47" s="3"/>
      <c r="AP47" s="3"/>
      <c r="AQ47" s="3"/>
    </row>
    <row r="48" spans="1:43" ht="14.2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3"/>
      <c r="AO48" s="3"/>
      <c r="AP48" s="3"/>
      <c r="AQ48" s="3"/>
    </row>
    <row r="49" spans="1:43" ht="14.2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3"/>
      <c r="AO49" s="3"/>
      <c r="AP49" s="3"/>
      <c r="AQ49" s="3"/>
    </row>
    <row r="50" spans="1:43" ht="14.2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3"/>
      <c r="AO50" s="3"/>
      <c r="AP50" s="3"/>
      <c r="AQ50" s="3"/>
    </row>
    <row r="51" spans="1:43" ht="14.2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3"/>
      <c r="AO51" s="3"/>
      <c r="AP51" s="3"/>
      <c r="AQ51" s="3"/>
    </row>
    <row r="52" spans="1:43" ht="14.2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3"/>
      <c r="AO52" s="3"/>
      <c r="AP52" s="3"/>
      <c r="AQ52" s="3"/>
    </row>
    <row r="53" spans="1:43" ht="14.2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3"/>
      <c r="AO53" s="3"/>
      <c r="AP53" s="3"/>
      <c r="AQ53" s="3"/>
    </row>
    <row r="54" spans="1:43" ht="14.2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3"/>
      <c r="AO54" s="3"/>
      <c r="AP54" s="3"/>
      <c r="AQ54" s="3"/>
    </row>
    <row r="55" spans="1:43" ht="14.2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3"/>
      <c r="AO55" s="3"/>
      <c r="AP55" s="3"/>
      <c r="AQ55" s="3"/>
    </row>
    <row r="56" spans="1:43" ht="14.2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3"/>
      <c r="AO56" s="3"/>
      <c r="AP56" s="3"/>
      <c r="AQ56" s="3"/>
    </row>
    <row r="57" spans="1:43" ht="14.2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3"/>
      <c r="AO57" s="3"/>
      <c r="AP57" s="3"/>
      <c r="AQ57" s="3"/>
    </row>
    <row r="58" spans="1:43" ht="14.2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3"/>
      <c r="AO58" s="3"/>
      <c r="AP58" s="3"/>
      <c r="AQ58" s="3"/>
    </row>
    <row r="59" spans="1:43" ht="14.2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3"/>
      <c r="AO59" s="3"/>
      <c r="AP59" s="3"/>
      <c r="AQ59" s="3"/>
    </row>
    <row r="60" spans="1:43" ht="14.2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3"/>
      <c r="AO60" s="3"/>
      <c r="AP60" s="3"/>
      <c r="AQ60" s="3"/>
    </row>
    <row r="61" spans="1:43" ht="14.2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3"/>
      <c r="AO61" s="3"/>
      <c r="AP61" s="3"/>
      <c r="AQ61" s="3"/>
    </row>
    <row r="62" spans="1:43" ht="14.2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3"/>
      <c r="AO62" s="3"/>
      <c r="AP62" s="3"/>
      <c r="AQ62" s="3"/>
    </row>
    <row r="63" spans="1:43" ht="14.2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3"/>
      <c r="AO63" s="3"/>
      <c r="AP63" s="3"/>
      <c r="AQ63" s="3"/>
    </row>
    <row r="64" spans="1:43" ht="14.2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3"/>
      <c r="AO64" s="3"/>
      <c r="AP64" s="3"/>
      <c r="AQ64" s="3"/>
    </row>
    <row r="65" spans="1:43" ht="14.2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3"/>
      <c r="AO65" s="3"/>
      <c r="AP65" s="3"/>
      <c r="AQ65" s="3"/>
    </row>
    <row r="66" spans="1:43" ht="14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3"/>
      <c r="AO66" s="3"/>
      <c r="AP66" s="3"/>
      <c r="AQ66" s="3"/>
    </row>
    <row r="67" spans="1:43" ht="14.2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3"/>
      <c r="AO67" s="3"/>
      <c r="AP67" s="3"/>
      <c r="AQ67" s="3"/>
    </row>
    <row r="68" spans="1:43" ht="14.2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3"/>
      <c r="AO68" s="3"/>
      <c r="AP68" s="3"/>
      <c r="AQ68" s="3"/>
    </row>
    <row r="69" spans="1:43" ht="14.2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3"/>
      <c r="AO69" s="3"/>
      <c r="AP69" s="3"/>
      <c r="AQ69" s="3"/>
    </row>
    <row r="70" spans="1:43" ht="14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3"/>
      <c r="AO70" s="3"/>
      <c r="AP70" s="3"/>
      <c r="AQ70" s="3"/>
    </row>
    <row r="71" spans="1:43" ht="14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3"/>
      <c r="AO71" s="3"/>
      <c r="AP71" s="3"/>
      <c r="AQ71" s="3"/>
    </row>
    <row r="72" spans="1:43" ht="14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3"/>
      <c r="AO72" s="3"/>
      <c r="AP72" s="3"/>
      <c r="AQ72" s="3"/>
    </row>
    <row r="73" spans="1:43" ht="14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3"/>
      <c r="AO73" s="3"/>
      <c r="AP73" s="3"/>
      <c r="AQ73" s="3"/>
    </row>
    <row r="74" spans="1:43" ht="14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3"/>
      <c r="AO74" s="3"/>
      <c r="AP74" s="3"/>
      <c r="AQ74" s="3"/>
    </row>
    <row r="75" spans="1:43" ht="14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3"/>
      <c r="AO75" s="3"/>
      <c r="AP75" s="3"/>
      <c r="AQ75" s="3"/>
    </row>
    <row r="76" spans="1:43" ht="14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3"/>
      <c r="AO76" s="3"/>
      <c r="AP76" s="3"/>
      <c r="AQ76" s="3"/>
    </row>
    <row r="77" spans="1:43" ht="14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3"/>
      <c r="AO77" s="3"/>
      <c r="AP77" s="3"/>
      <c r="AQ77" s="3"/>
    </row>
    <row r="78" spans="1:43" ht="14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3"/>
      <c r="AO78" s="3"/>
      <c r="AP78" s="3"/>
      <c r="AQ78" s="3"/>
    </row>
    <row r="79" spans="1:43" ht="14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3"/>
      <c r="AO79" s="3"/>
      <c r="AP79" s="3"/>
      <c r="AQ79" s="3"/>
    </row>
    <row r="80" spans="1:43" ht="14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3"/>
      <c r="AO80" s="3"/>
      <c r="AP80" s="3"/>
      <c r="AQ80" s="3"/>
    </row>
    <row r="81" spans="1:43" ht="14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3"/>
      <c r="AO81" s="3"/>
      <c r="AP81" s="3"/>
      <c r="AQ81" s="3"/>
    </row>
    <row r="82" spans="1:43" ht="14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3"/>
      <c r="AO82" s="3"/>
      <c r="AP82" s="3"/>
      <c r="AQ82" s="3"/>
    </row>
    <row r="83" spans="1:43" ht="14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3"/>
      <c r="AO83" s="3"/>
      <c r="AP83" s="3"/>
      <c r="AQ83" s="3"/>
    </row>
    <row r="84" spans="1:43" ht="14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3"/>
      <c r="AO84" s="3"/>
      <c r="AP84" s="3"/>
      <c r="AQ84" s="3"/>
    </row>
    <row r="85" spans="1:43" ht="14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3"/>
      <c r="AO85" s="3"/>
      <c r="AP85" s="3"/>
      <c r="AQ85" s="3"/>
    </row>
    <row r="86" spans="1:43" ht="14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3"/>
      <c r="AO86" s="3"/>
      <c r="AP86" s="3"/>
      <c r="AQ86" s="3"/>
    </row>
    <row r="87" spans="1:43" ht="14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3"/>
      <c r="AO87" s="3"/>
      <c r="AP87" s="3"/>
      <c r="AQ87" s="3"/>
    </row>
    <row r="88" spans="1:43" ht="14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3"/>
      <c r="AO88" s="3"/>
      <c r="AP88" s="3"/>
      <c r="AQ88" s="3"/>
    </row>
    <row r="89" spans="1:43" ht="14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3"/>
      <c r="AO89" s="3"/>
      <c r="AP89" s="3"/>
      <c r="AQ89" s="3"/>
    </row>
    <row r="90" spans="1:43" ht="14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3"/>
      <c r="AO90" s="3"/>
      <c r="AP90" s="3"/>
      <c r="AQ90" s="3"/>
    </row>
    <row r="91" spans="1:43" ht="14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3"/>
      <c r="AO91" s="3"/>
      <c r="AP91" s="3"/>
      <c r="AQ91" s="3"/>
    </row>
    <row r="92" spans="1:43" ht="14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3"/>
      <c r="AO92" s="3"/>
      <c r="AP92" s="3"/>
      <c r="AQ92" s="3"/>
    </row>
    <row r="93" spans="1:43" ht="14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3"/>
      <c r="AO93" s="3"/>
      <c r="AP93" s="3"/>
      <c r="AQ93" s="3"/>
    </row>
    <row r="94" spans="1:43" ht="14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3"/>
      <c r="AO94" s="3"/>
      <c r="AP94" s="3"/>
      <c r="AQ94" s="3"/>
    </row>
    <row r="95" spans="1:43" ht="14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3"/>
      <c r="AO95" s="3"/>
      <c r="AP95" s="3"/>
      <c r="AQ95" s="3"/>
    </row>
    <row r="96" spans="1:43" ht="14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3"/>
      <c r="AO96" s="3"/>
      <c r="AP96" s="3"/>
      <c r="AQ96" s="3"/>
    </row>
    <row r="97" spans="1:43" ht="14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3"/>
      <c r="AO97" s="3"/>
      <c r="AP97" s="3"/>
      <c r="AQ97" s="3"/>
    </row>
    <row r="98" spans="1:43" ht="14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3"/>
      <c r="AO98" s="3"/>
      <c r="AP98" s="3"/>
      <c r="AQ98" s="3"/>
    </row>
    <row r="99" spans="1:43" ht="14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3"/>
      <c r="AO99" s="3"/>
      <c r="AP99" s="3"/>
      <c r="AQ99" s="3"/>
    </row>
    <row r="100" spans="1:43" ht="14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3"/>
      <c r="AO100" s="3"/>
      <c r="AP100" s="3"/>
      <c r="AQ100" s="3"/>
    </row>
    <row r="101" spans="1:43" ht="14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3"/>
      <c r="AO101" s="3"/>
      <c r="AP101" s="3"/>
      <c r="AQ101" s="3"/>
    </row>
    <row r="102" spans="1:43" ht="14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3"/>
      <c r="AO102" s="3"/>
      <c r="AP102" s="3"/>
      <c r="AQ102" s="3"/>
    </row>
    <row r="103" spans="1:43" ht="14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3"/>
      <c r="AO103" s="3"/>
      <c r="AP103" s="3"/>
      <c r="AQ103" s="3"/>
    </row>
    <row r="104" spans="1:43" ht="14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3"/>
      <c r="AO104" s="3"/>
      <c r="AP104" s="3"/>
      <c r="AQ104" s="3"/>
    </row>
    <row r="105" spans="1:43" ht="14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3"/>
      <c r="AO105" s="3"/>
      <c r="AP105" s="3"/>
      <c r="AQ105" s="3"/>
    </row>
    <row r="106" spans="1:43" ht="14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3"/>
      <c r="AO106" s="3"/>
      <c r="AP106" s="3"/>
      <c r="AQ106" s="3"/>
    </row>
    <row r="107" spans="1:43" ht="14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3"/>
      <c r="AO107" s="3"/>
      <c r="AP107" s="3"/>
      <c r="AQ107" s="3"/>
    </row>
    <row r="108" spans="1:43" ht="14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3"/>
      <c r="AO108" s="3"/>
      <c r="AP108" s="3"/>
      <c r="AQ108" s="3"/>
    </row>
    <row r="109" spans="1:43" ht="14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3"/>
      <c r="AO109" s="3"/>
      <c r="AP109" s="3"/>
      <c r="AQ109" s="3"/>
    </row>
    <row r="110" spans="1:43" ht="14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3"/>
      <c r="AO110" s="3"/>
      <c r="AP110" s="3"/>
      <c r="AQ110" s="3"/>
    </row>
    <row r="111" spans="1:43" ht="14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3"/>
      <c r="AO111" s="3"/>
      <c r="AP111" s="3"/>
      <c r="AQ111" s="3"/>
    </row>
    <row r="112" spans="1:43" ht="14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3"/>
      <c r="AO112" s="3"/>
      <c r="AP112" s="3"/>
      <c r="AQ112" s="3"/>
    </row>
    <row r="113" spans="1:43" ht="14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3"/>
      <c r="AO113" s="3"/>
      <c r="AP113" s="3"/>
      <c r="AQ113" s="3"/>
    </row>
    <row r="114" spans="1:43" ht="14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3"/>
      <c r="AO114" s="3"/>
      <c r="AP114" s="3"/>
      <c r="AQ114" s="3"/>
    </row>
    <row r="115" spans="1:43" ht="14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3"/>
      <c r="AO115" s="3"/>
      <c r="AP115" s="3"/>
      <c r="AQ115" s="3"/>
    </row>
    <row r="116" spans="1:43" ht="14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3"/>
      <c r="AO116" s="3"/>
      <c r="AP116" s="3"/>
      <c r="AQ116" s="3"/>
    </row>
    <row r="117" spans="1:43" ht="14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3"/>
      <c r="AO117" s="3"/>
      <c r="AP117" s="3"/>
      <c r="AQ117" s="3"/>
    </row>
    <row r="118" spans="1:43" ht="14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3"/>
      <c r="AO118" s="3"/>
      <c r="AP118" s="3"/>
      <c r="AQ118" s="3"/>
    </row>
    <row r="119" spans="1:43" ht="14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3"/>
      <c r="AO119" s="3"/>
      <c r="AP119" s="3"/>
      <c r="AQ119" s="3"/>
    </row>
    <row r="120" spans="1:43" ht="14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3"/>
      <c r="AO120" s="3"/>
      <c r="AP120" s="3"/>
      <c r="AQ120" s="3"/>
    </row>
    <row r="121" spans="1:43" ht="14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3"/>
      <c r="AO121" s="3"/>
      <c r="AP121" s="3"/>
      <c r="AQ121" s="3"/>
    </row>
    <row r="122" spans="1:43" ht="14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3"/>
      <c r="AO122" s="3"/>
      <c r="AP122" s="3"/>
      <c r="AQ122" s="3"/>
    </row>
    <row r="123" spans="1:43" ht="14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3"/>
      <c r="AO123" s="3"/>
      <c r="AP123" s="3"/>
      <c r="AQ123" s="3"/>
    </row>
    <row r="124" spans="1:43" ht="14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3"/>
      <c r="AO124" s="3"/>
      <c r="AP124" s="3"/>
      <c r="AQ124" s="3"/>
    </row>
    <row r="125" spans="1:43" ht="14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3"/>
      <c r="AO125" s="3"/>
      <c r="AP125" s="3"/>
      <c r="AQ125" s="3"/>
    </row>
    <row r="126" spans="1:43" ht="14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3"/>
      <c r="AO126" s="3"/>
      <c r="AP126" s="3"/>
      <c r="AQ126" s="3"/>
    </row>
    <row r="127" spans="1:43" ht="14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3"/>
      <c r="AO127" s="3"/>
      <c r="AP127" s="3"/>
      <c r="AQ127" s="3"/>
    </row>
    <row r="128" spans="1:43" ht="14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3"/>
      <c r="AO128" s="3"/>
      <c r="AP128" s="3"/>
      <c r="AQ128" s="3"/>
    </row>
    <row r="129" spans="1:43" ht="14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3"/>
      <c r="AO129" s="3"/>
      <c r="AP129" s="3"/>
      <c r="AQ129" s="3"/>
    </row>
    <row r="130" spans="1:43" ht="14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3"/>
      <c r="AO130" s="3"/>
      <c r="AP130" s="3"/>
      <c r="AQ130" s="3"/>
    </row>
    <row r="131" spans="1:43" ht="14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3"/>
      <c r="AO131" s="3"/>
      <c r="AP131" s="3"/>
      <c r="AQ131" s="3"/>
    </row>
    <row r="132" spans="1:43" ht="14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3"/>
      <c r="AO132" s="3"/>
      <c r="AP132" s="3"/>
      <c r="AQ132" s="3"/>
    </row>
    <row r="133" spans="1:43" ht="14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3"/>
      <c r="AO133" s="3"/>
      <c r="AP133" s="3"/>
      <c r="AQ133" s="3"/>
    </row>
    <row r="134" spans="1:43" ht="14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3"/>
      <c r="AO134" s="3"/>
      <c r="AP134" s="3"/>
      <c r="AQ134" s="3"/>
    </row>
    <row r="135" spans="1:43" ht="14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3"/>
      <c r="AO135" s="3"/>
      <c r="AP135" s="3"/>
      <c r="AQ135" s="3"/>
    </row>
    <row r="136" spans="1:43" ht="14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3"/>
      <c r="AO136" s="3"/>
      <c r="AP136" s="3"/>
      <c r="AQ136" s="3"/>
    </row>
    <row r="137" spans="1:43" ht="14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3"/>
      <c r="AO137" s="3"/>
      <c r="AP137" s="3"/>
      <c r="AQ137" s="3"/>
    </row>
    <row r="138" spans="1:43" ht="14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3"/>
      <c r="AO138" s="3"/>
      <c r="AP138" s="3"/>
      <c r="AQ138" s="3"/>
    </row>
    <row r="139" spans="1:43" ht="14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3"/>
      <c r="AO139" s="3"/>
      <c r="AP139" s="3"/>
      <c r="AQ139" s="3"/>
    </row>
    <row r="140" spans="1:43" ht="14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3"/>
      <c r="AO140" s="3"/>
      <c r="AP140" s="3"/>
      <c r="AQ140" s="3"/>
    </row>
    <row r="141" spans="1:43" ht="14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3"/>
      <c r="AO141" s="3"/>
      <c r="AP141" s="3"/>
      <c r="AQ141" s="3"/>
    </row>
    <row r="142" spans="1:43" ht="14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3"/>
      <c r="AO142" s="3"/>
      <c r="AP142" s="3"/>
      <c r="AQ142" s="3"/>
    </row>
    <row r="143" spans="1:43" ht="14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3"/>
      <c r="AO143" s="3"/>
      <c r="AP143" s="3"/>
      <c r="AQ143" s="3"/>
    </row>
    <row r="144" spans="1:43" ht="14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3"/>
      <c r="AO144" s="3"/>
      <c r="AP144" s="3"/>
      <c r="AQ144" s="3"/>
    </row>
    <row r="145" spans="1:43" ht="14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3"/>
      <c r="AO145" s="3"/>
      <c r="AP145" s="3"/>
      <c r="AQ145" s="3"/>
    </row>
    <row r="146" spans="1:43" ht="14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3"/>
      <c r="AO146" s="3"/>
      <c r="AP146" s="3"/>
      <c r="AQ146" s="3"/>
    </row>
    <row r="147" spans="1:43" ht="14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3"/>
      <c r="AO147" s="3"/>
      <c r="AP147" s="3"/>
      <c r="AQ147" s="3"/>
    </row>
    <row r="148" spans="1:43" ht="14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3"/>
      <c r="AO148" s="3"/>
      <c r="AP148" s="3"/>
      <c r="AQ148" s="3"/>
    </row>
    <row r="149" spans="1:43" ht="14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3"/>
      <c r="AO149" s="3"/>
      <c r="AP149" s="3"/>
      <c r="AQ149" s="3"/>
    </row>
    <row r="150" spans="1:43" ht="14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3"/>
      <c r="AO150" s="3"/>
      <c r="AP150" s="3"/>
      <c r="AQ150" s="3"/>
    </row>
    <row r="151" spans="1:43" ht="14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3"/>
      <c r="AO151" s="3"/>
      <c r="AP151" s="3"/>
      <c r="AQ151" s="3"/>
    </row>
    <row r="152" spans="1:43" ht="14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3"/>
      <c r="AO152" s="3"/>
      <c r="AP152" s="3"/>
      <c r="AQ152" s="3"/>
    </row>
    <row r="153" spans="1:43" ht="14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3"/>
      <c r="AO153" s="3"/>
      <c r="AP153" s="3"/>
      <c r="AQ153" s="3"/>
    </row>
    <row r="154" spans="1:43" ht="14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3"/>
      <c r="AO154" s="3"/>
      <c r="AP154" s="3"/>
      <c r="AQ154" s="3"/>
    </row>
    <row r="155" spans="1:43" ht="14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3"/>
      <c r="AO155" s="3"/>
      <c r="AP155" s="3"/>
      <c r="AQ155" s="3"/>
    </row>
    <row r="156" spans="1:43" ht="14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3"/>
      <c r="AO156" s="3"/>
      <c r="AP156" s="3"/>
      <c r="AQ156" s="3"/>
    </row>
    <row r="157" spans="1:43" ht="14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3"/>
      <c r="AO157" s="3"/>
      <c r="AP157" s="3"/>
      <c r="AQ157" s="3"/>
    </row>
    <row r="158" spans="1:43" ht="14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3"/>
      <c r="AO158" s="3"/>
      <c r="AP158" s="3"/>
      <c r="AQ158" s="3"/>
    </row>
    <row r="159" spans="1:43" ht="14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3"/>
      <c r="AO159" s="3"/>
      <c r="AP159" s="3"/>
      <c r="AQ159" s="3"/>
    </row>
    <row r="160" spans="1:43" ht="14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3"/>
      <c r="AO160" s="3"/>
      <c r="AP160" s="3"/>
      <c r="AQ160" s="3"/>
    </row>
    <row r="161" spans="1:43" ht="14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3"/>
      <c r="AO161" s="3"/>
      <c r="AP161" s="3"/>
      <c r="AQ161" s="3"/>
    </row>
    <row r="162" spans="1:43" ht="14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3"/>
      <c r="AO162" s="3"/>
      <c r="AP162" s="3"/>
      <c r="AQ162" s="3"/>
    </row>
    <row r="163" spans="1:43" ht="14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3"/>
      <c r="AO163" s="3"/>
      <c r="AP163" s="3"/>
      <c r="AQ163" s="3"/>
    </row>
    <row r="164" spans="1:43" ht="14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3"/>
      <c r="AO164" s="3"/>
      <c r="AP164" s="3"/>
      <c r="AQ164" s="3"/>
    </row>
    <row r="165" spans="1:43" ht="14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3"/>
      <c r="AO165" s="3"/>
      <c r="AP165" s="3"/>
      <c r="AQ165" s="3"/>
    </row>
    <row r="166" spans="1:43" ht="14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3"/>
      <c r="AO166" s="3"/>
      <c r="AP166" s="3"/>
      <c r="AQ166" s="3"/>
    </row>
    <row r="167" spans="1:43" ht="14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3"/>
      <c r="AO167" s="3"/>
      <c r="AP167" s="3"/>
      <c r="AQ167" s="3"/>
    </row>
    <row r="168" spans="1:43" ht="14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3"/>
      <c r="AO168" s="3"/>
      <c r="AP168" s="3"/>
      <c r="AQ168" s="3"/>
    </row>
    <row r="169" spans="1:43" ht="14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3"/>
      <c r="AO169" s="3"/>
      <c r="AP169" s="3"/>
      <c r="AQ169" s="3"/>
    </row>
    <row r="170" spans="1:43" ht="14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3"/>
      <c r="AO170" s="3"/>
      <c r="AP170" s="3"/>
      <c r="AQ170" s="3"/>
    </row>
    <row r="171" spans="1:43" ht="14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3"/>
      <c r="AO171" s="3"/>
      <c r="AP171" s="3"/>
      <c r="AQ171" s="3"/>
    </row>
    <row r="172" spans="1:43" ht="14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3"/>
      <c r="AO172" s="3"/>
      <c r="AP172" s="3"/>
      <c r="AQ172" s="3"/>
    </row>
    <row r="173" spans="1:43" ht="14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3"/>
      <c r="AO173" s="3"/>
      <c r="AP173" s="3"/>
      <c r="AQ173" s="3"/>
    </row>
    <row r="174" spans="1:43" ht="14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3"/>
      <c r="AO174" s="3"/>
      <c r="AP174" s="3"/>
      <c r="AQ174" s="3"/>
    </row>
    <row r="175" spans="1:43" ht="14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3"/>
      <c r="AO175" s="3"/>
      <c r="AP175" s="3"/>
      <c r="AQ175" s="3"/>
    </row>
    <row r="176" spans="1:43" ht="14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3"/>
      <c r="AO176" s="3"/>
      <c r="AP176" s="3"/>
      <c r="AQ176" s="3"/>
    </row>
    <row r="177" spans="1:43" ht="14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3"/>
      <c r="AO177" s="3"/>
      <c r="AP177" s="3"/>
      <c r="AQ177" s="3"/>
    </row>
    <row r="178" spans="1:43" ht="14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3"/>
      <c r="AO178" s="3"/>
      <c r="AP178" s="3"/>
      <c r="AQ178" s="3"/>
    </row>
    <row r="179" spans="1:43" ht="14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3"/>
      <c r="AO179" s="3"/>
      <c r="AP179" s="3"/>
      <c r="AQ179" s="3"/>
    </row>
    <row r="180" spans="1:43" ht="14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3"/>
      <c r="AO180" s="3"/>
      <c r="AP180" s="3"/>
      <c r="AQ180" s="3"/>
    </row>
    <row r="181" spans="1:43" ht="14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3"/>
      <c r="AO181" s="3"/>
      <c r="AP181" s="3"/>
      <c r="AQ181" s="3"/>
    </row>
    <row r="182" spans="1:43" ht="14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3"/>
      <c r="AO182" s="3"/>
      <c r="AP182" s="3"/>
      <c r="AQ182" s="3"/>
    </row>
    <row r="183" spans="1:43" ht="14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3"/>
      <c r="AO183" s="3"/>
      <c r="AP183" s="3"/>
      <c r="AQ183" s="3"/>
    </row>
    <row r="184" spans="1:43" ht="14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3"/>
      <c r="AO184" s="3"/>
      <c r="AP184" s="3"/>
      <c r="AQ184" s="3"/>
    </row>
    <row r="185" spans="1:43" ht="14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3"/>
      <c r="AO185" s="3"/>
      <c r="AP185" s="3"/>
      <c r="AQ185" s="3"/>
    </row>
    <row r="186" spans="1:43" ht="14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3"/>
      <c r="AO186" s="3"/>
      <c r="AP186" s="3"/>
      <c r="AQ186" s="3"/>
    </row>
    <row r="187" spans="1:43" ht="14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3"/>
      <c r="AO187" s="3"/>
      <c r="AP187" s="3"/>
      <c r="AQ187" s="3"/>
    </row>
    <row r="188" spans="1:43" ht="14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3"/>
      <c r="AO188" s="3"/>
      <c r="AP188" s="3"/>
      <c r="AQ188" s="3"/>
    </row>
    <row r="189" spans="1:43" ht="14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3"/>
      <c r="AO189" s="3"/>
      <c r="AP189" s="3"/>
      <c r="AQ189" s="3"/>
    </row>
    <row r="190" spans="1:43" ht="14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3"/>
      <c r="AO190" s="3"/>
      <c r="AP190" s="3"/>
      <c r="AQ190" s="3"/>
    </row>
    <row r="191" spans="1:43" ht="14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3"/>
      <c r="AO191" s="3"/>
      <c r="AP191" s="3"/>
      <c r="AQ191" s="3"/>
    </row>
    <row r="192" spans="1:43" ht="14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3"/>
      <c r="AO192" s="3"/>
      <c r="AP192" s="3"/>
      <c r="AQ192" s="3"/>
    </row>
    <row r="193" spans="1:43" ht="14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3"/>
      <c r="AO193" s="3"/>
      <c r="AP193" s="3"/>
      <c r="AQ193" s="3"/>
    </row>
    <row r="194" spans="1:43" ht="14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3"/>
      <c r="AO194" s="3"/>
      <c r="AP194" s="3"/>
      <c r="AQ194" s="3"/>
    </row>
    <row r="195" spans="1:43" ht="14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3"/>
      <c r="AO195" s="3"/>
      <c r="AP195" s="3"/>
      <c r="AQ195" s="3"/>
    </row>
    <row r="196" spans="1:43" ht="14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3"/>
      <c r="AO196" s="3"/>
      <c r="AP196" s="3"/>
      <c r="AQ196" s="3"/>
    </row>
    <row r="197" spans="1:43" ht="14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3"/>
      <c r="AO197" s="3"/>
      <c r="AP197" s="3"/>
      <c r="AQ197" s="3"/>
    </row>
    <row r="198" spans="1:43" ht="14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3"/>
      <c r="AO198" s="3"/>
      <c r="AP198" s="3"/>
      <c r="AQ198" s="3"/>
    </row>
    <row r="199" spans="1:43" ht="14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3"/>
      <c r="AO199" s="3"/>
      <c r="AP199" s="3"/>
      <c r="AQ199" s="3"/>
    </row>
    <row r="200" spans="1:43" ht="14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3"/>
      <c r="AO200" s="3"/>
      <c r="AP200" s="3"/>
      <c r="AQ200" s="3"/>
    </row>
    <row r="201" spans="1:43" ht="14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3"/>
      <c r="AO201" s="3"/>
      <c r="AP201" s="3"/>
      <c r="AQ201" s="3"/>
    </row>
    <row r="202" spans="1:43" ht="14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3"/>
      <c r="AO202" s="3"/>
      <c r="AP202" s="3"/>
      <c r="AQ202" s="3"/>
    </row>
    <row r="203" spans="1:43" ht="14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3"/>
      <c r="AO203" s="3"/>
      <c r="AP203" s="3"/>
      <c r="AQ203" s="3"/>
    </row>
    <row r="204" spans="1:43" ht="14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3"/>
      <c r="AO204" s="3"/>
      <c r="AP204" s="3"/>
      <c r="AQ204" s="3"/>
    </row>
    <row r="205" spans="1:43" ht="14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3"/>
      <c r="AO205" s="3"/>
      <c r="AP205" s="3"/>
      <c r="AQ205" s="3"/>
    </row>
    <row r="206" spans="1:43" ht="14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3"/>
      <c r="AO206" s="3"/>
      <c r="AP206" s="3"/>
      <c r="AQ206" s="3"/>
    </row>
    <row r="207" spans="1:43" ht="14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3"/>
      <c r="AO207" s="3"/>
      <c r="AP207" s="3"/>
      <c r="AQ207" s="3"/>
    </row>
    <row r="208" spans="1:43" ht="14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3"/>
      <c r="AO208" s="3"/>
      <c r="AP208" s="3"/>
      <c r="AQ208" s="3"/>
    </row>
    <row r="209" spans="1:43" ht="14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3"/>
      <c r="AO209" s="3"/>
      <c r="AP209" s="3"/>
      <c r="AQ209" s="3"/>
    </row>
    <row r="210" spans="1:43" ht="14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3"/>
      <c r="AO210" s="3"/>
      <c r="AP210" s="3"/>
      <c r="AQ210" s="3"/>
    </row>
    <row r="211" spans="1:43" ht="14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3"/>
      <c r="AO211" s="3"/>
      <c r="AP211" s="3"/>
      <c r="AQ211" s="3"/>
    </row>
    <row r="212" spans="1:43" ht="14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3"/>
      <c r="AO212" s="3"/>
      <c r="AP212" s="3"/>
      <c r="AQ212" s="3"/>
    </row>
    <row r="213" spans="1:43" ht="14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3"/>
      <c r="AO213" s="3"/>
      <c r="AP213" s="3"/>
      <c r="AQ213" s="3"/>
    </row>
    <row r="214" spans="1:43" ht="14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3"/>
      <c r="AO214" s="3"/>
      <c r="AP214" s="3"/>
      <c r="AQ214" s="3"/>
    </row>
    <row r="215" spans="1:43" ht="14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3"/>
      <c r="AO215" s="3"/>
      <c r="AP215" s="3"/>
      <c r="AQ215" s="3"/>
    </row>
    <row r="216" spans="1:43" ht="14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3"/>
      <c r="AO216" s="3"/>
      <c r="AP216" s="3"/>
      <c r="AQ216" s="3"/>
    </row>
    <row r="217" spans="1:43" ht="14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3"/>
      <c r="AO217" s="3"/>
      <c r="AP217" s="3"/>
      <c r="AQ217" s="3"/>
    </row>
    <row r="218" spans="1:43" ht="14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3"/>
      <c r="AO218" s="3"/>
      <c r="AP218" s="3"/>
      <c r="AQ218" s="3"/>
    </row>
    <row r="219" spans="1:43" ht="14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3"/>
      <c r="AO219" s="3"/>
      <c r="AP219" s="3"/>
      <c r="AQ219" s="3"/>
    </row>
    <row r="220" spans="1:43" ht="14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3"/>
      <c r="AO220" s="3"/>
      <c r="AP220" s="3"/>
      <c r="AQ220" s="3"/>
    </row>
    <row r="221" spans="1:43" ht="14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3"/>
      <c r="AO221" s="3"/>
      <c r="AP221" s="3"/>
      <c r="AQ221" s="3"/>
    </row>
    <row r="222" spans="1:43" ht="14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3"/>
      <c r="AO222" s="3"/>
      <c r="AP222" s="3"/>
      <c r="AQ222" s="3"/>
    </row>
    <row r="223" spans="1:43" ht="14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3"/>
      <c r="AO223" s="3"/>
      <c r="AP223" s="3"/>
      <c r="AQ223" s="3"/>
    </row>
    <row r="224" spans="1:43" ht="14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3"/>
      <c r="AO224" s="3"/>
      <c r="AP224" s="3"/>
      <c r="AQ224" s="3"/>
    </row>
    <row r="225" spans="1:43" ht="14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3"/>
      <c r="AO225" s="3"/>
      <c r="AP225" s="3"/>
      <c r="AQ225" s="3"/>
    </row>
    <row r="226" spans="1:43" ht="14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3"/>
      <c r="AO226" s="3"/>
      <c r="AP226" s="3"/>
      <c r="AQ226" s="3"/>
    </row>
    <row r="227" spans="1:43" ht="14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3"/>
      <c r="AO227" s="3"/>
      <c r="AP227" s="3"/>
      <c r="AQ227" s="3"/>
    </row>
    <row r="228" spans="1:43" ht="14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3"/>
      <c r="AO228" s="3"/>
      <c r="AP228" s="3"/>
      <c r="AQ228" s="3"/>
    </row>
    <row r="229" spans="1:43" ht="14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3"/>
      <c r="AO229" s="3"/>
      <c r="AP229" s="3"/>
      <c r="AQ229" s="3"/>
    </row>
    <row r="230" spans="1:43" ht="14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3"/>
      <c r="AO230" s="3"/>
      <c r="AP230" s="3"/>
      <c r="AQ230" s="3"/>
    </row>
    <row r="231" spans="1:43" ht="14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3"/>
      <c r="AO231" s="3"/>
      <c r="AP231" s="3"/>
      <c r="AQ231" s="3"/>
    </row>
    <row r="232" spans="1:43" ht="14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3"/>
      <c r="AO232" s="3"/>
      <c r="AP232" s="3"/>
      <c r="AQ232" s="3"/>
    </row>
    <row r="233" spans="1:43" ht="14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3"/>
      <c r="AO233" s="3"/>
      <c r="AP233" s="3"/>
      <c r="AQ233" s="3"/>
    </row>
    <row r="234" spans="1:43" ht="14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3"/>
      <c r="AO234" s="3"/>
      <c r="AP234" s="3"/>
      <c r="AQ234" s="3"/>
    </row>
    <row r="235" spans="1:43" ht="14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3"/>
      <c r="AO235" s="3"/>
      <c r="AP235" s="3"/>
      <c r="AQ235" s="3"/>
    </row>
    <row r="236" spans="1:43" ht="14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3"/>
      <c r="AO236" s="3"/>
      <c r="AP236" s="3"/>
      <c r="AQ236" s="3"/>
    </row>
    <row r="237" spans="1:43" ht="14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3"/>
      <c r="AO237" s="3"/>
      <c r="AP237" s="3"/>
      <c r="AQ237" s="3"/>
    </row>
    <row r="238" spans="1:43" ht="14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3"/>
      <c r="AO238" s="3"/>
      <c r="AP238" s="3"/>
      <c r="AQ238" s="3"/>
    </row>
    <row r="239" spans="1:43" ht="14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3"/>
      <c r="AO239" s="3"/>
      <c r="AP239" s="3"/>
      <c r="AQ239" s="3"/>
    </row>
    <row r="240" spans="1:43" ht="14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3"/>
      <c r="AO240" s="3"/>
      <c r="AP240" s="3"/>
      <c r="AQ240" s="3"/>
    </row>
    <row r="241" spans="1:43" ht="14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3"/>
      <c r="AO241" s="3"/>
      <c r="AP241" s="3"/>
      <c r="AQ241" s="3"/>
    </row>
    <row r="242" spans="1:43" ht="14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3"/>
      <c r="AO242" s="3"/>
      <c r="AP242" s="3"/>
      <c r="AQ242" s="3"/>
    </row>
    <row r="243" spans="1:43" ht="14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3"/>
      <c r="AO243" s="3"/>
      <c r="AP243" s="3"/>
      <c r="AQ243" s="3"/>
    </row>
    <row r="244" spans="1:43" ht="14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3"/>
      <c r="AO244" s="3"/>
      <c r="AP244" s="3"/>
      <c r="AQ244" s="3"/>
    </row>
    <row r="245" spans="1:43" ht="14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3"/>
      <c r="AO245" s="3"/>
      <c r="AP245" s="3"/>
      <c r="AQ245" s="3"/>
    </row>
    <row r="246" spans="1:43" ht="14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3"/>
      <c r="AO246" s="3"/>
      <c r="AP246" s="3"/>
      <c r="AQ246" s="3"/>
    </row>
    <row r="247" spans="1:43" ht="14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3"/>
      <c r="AO247" s="3"/>
      <c r="AP247" s="3"/>
      <c r="AQ247" s="3"/>
    </row>
    <row r="248" spans="1:43" ht="14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3"/>
      <c r="AO248" s="3"/>
      <c r="AP248" s="3"/>
      <c r="AQ248" s="3"/>
    </row>
    <row r="249" spans="1:43" ht="14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3"/>
      <c r="AO249" s="3"/>
      <c r="AP249" s="3"/>
      <c r="AQ249" s="3"/>
    </row>
    <row r="250" spans="1:43" ht="14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3"/>
      <c r="AO250" s="3"/>
      <c r="AP250" s="3"/>
      <c r="AQ250" s="3"/>
    </row>
    <row r="251" spans="1:43" ht="14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3"/>
      <c r="AO251" s="3"/>
      <c r="AP251" s="3"/>
      <c r="AQ251" s="3"/>
    </row>
    <row r="252" spans="1:43" ht="14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3"/>
      <c r="AO252" s="3"/>
      <c r="AP252" s="3"/>
      <c r="AQ252" s="3"/>
    </row>
    <row r="253" spans="1:43" ht="14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3"/>
      <c r="AO253" s="3"/>
      <c r="AP253" s="3"/>
      <c r="AQ253" s="3"/>
    </row>
    <row r="254" spans="1:43" ht="14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3"/>
      <c r="AO254" s="3"/>
      <c r="AP254" s="3"/>
      <c r="AQ254" s="3"/>
    </row>
    <row r="255" spans="1:43" ht="14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3"/>
      <c r="AO255" s="3"/>
      <c r="AP255" s="3"/>
      <c r="AQ255" s="3"/>
    </row>
    <row r="256" spans="1:43" ht="14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3"/>
      <c r="AO256" s="3"/>
      <c r="AP256" s="3"/>
      <c r="AQ256" s="3"/>
    </row>
    <row r="257" spans="1:43" ht="14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3"/>
      <c r="AO257" s="3"/>
      <c r="AP257" s="3"/>
      <c r="AQ257" s="3"/>
    </row>
    <row r="258" spans="1:43" ht="14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3"/>
      <c r="AO258" s="3"/>
      <c r="AP258" s="3"/>
      <c r="AQ258" s="3"/>
    </row>
    <row r="259" spans="1:43" ht="14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3"/>
      <c r="AO259" s="3"/>
      <c r="AP259" s="3"/>
      <c r="AQ259" s="3"/>
    </row>
    <row r="260" spans="1:43" ht="14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3"/>
      <c r="AO260" s="3"/>
      <c r="AP260" s="3"/>
      <c r="AQ260" s="3"/>
    </row>
    <row r="261" spans="1:43" ht="14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3"/>
      <c r="AO261" s="3"/>
      <c r="AP261" s="3"/>
      <c r="AQ261" s="3"/>
    </row>
    <row r="262" spans="1:43" ht="14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3"/>
      <c r="AO262" s="3"/>
      <c r="AP262" s="3"/>
      <c r="AQ262" s="3"/>
    </row>
    <row r="263" spans="1:43" ht="14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3"/>
      <c r="AO263" s="3"/>
      <c r="AP263" s="3"/>
      <c r="AQ263" s="3"/>
    </row>
    <row r="264" spans="1:43" ht="14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3"/>
      <c r="AO264" s="3"/>
      <c r="AP264" s="3"/>
      <c r="AQ264" s="3"/>
    </row>
    <row r="265" spans="1:43" ht="14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3"/>
      <c r="AO265" s="3"/>
      <c r="AP265" s="3"/>
      <c r="AQ265" s="3"/>
    </row>
    <row r="266" spans="1:43" ht="14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3"/>
      <c r="AO266" s="3"/>
      <c r="AP266" s="3"/>
      <c r="AQ266" s="3"/>
    </row>
    <row r="267" spans="1:43" ht="14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3"/>
      <c r="AO267" s="3"/>
      <c r="AP267" s="3"/>
      <c r="AQ267" s="3"/>
    </row>
    <row r="268" spans="1:43" ht="14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3"/>
      <c r="AO268" s="3"/>
      <c r="AP268" s="3"/>
      <c r="AQ268" s="3"/>
    </row>
    <row r="269" spans="1:43" ht="14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3"/>
      <c r="AO269" s="3"/>
      <c r="AP269" s="3"/>
      <c r="AQ269" s="3"/>
    </row>
    <row r="270" spans="1:43" ht="14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3"/>
      <c r="AO270" s="3"/>
      <c r="AP270" s="3"/>
      <c r="AQ270" s="3"/>
    </row>
    <row r="271" spans="1:43" ht="14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3"/>
      <c r="AO271" s="3"/>
      <c r="AP271" s="3"/>
      <c r="AQ271" s="3"/>
    </row>
    <row r="272" spans="1:43" ht="14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3"/>
      <c r="AO272" s="3"/>
      <c r="AP272" s="3"/>
      <c r="AQ272" s="3"/>
    </row>
    <row r="273" spans="1:43" ht="14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3"/>
      <c r="AO273" s="3"/>
      <c r="AP273" s="3"/>
      <c r="AQ273" s="3"/>
    </row>
    <row r="274" spans="1:43" ht="14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3"/>
      <c r="AO274" s="3"/>
      <c r="AP274" s="3"/>
      <c r="AQ274" s="3"/>
    </row>
    <row r="275" spans="1:43" ht="14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3"/>
      <c r="AO275" s="3"/>
      <c r="AP275" s="3"/>
      <c r="AQ275" s="3"/>
    </row>
    <row r="276" spans="1:43" ht="14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3"/>
      <c r="AO276" s="3"/>
      <c r="AP276" s="3"/>
      <c r="AQ276" s="3"/>
    </row>
    <row r="277" spans="1:43" ht="14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3"/>
      <c r="AO277" s="3"/>
      <c r="AP277" s="3"/>
      <c r="AQ277" s="3"/>
    </row>
    <row r="278" spans="1:43" ht="14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3"/>
      <c r="AO278" s="3"/>
      <c r="AP278" s="3"/>
      <c r="AQ278" s="3"/>
    </row>
    <row r="279" spans="1:43" ht="14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3"/>
      <c r="AO279" s="3"/>
      <c r="AP279" s="3"/>
      <c r="AQ279" s="3"/>
    </row>
    <row r="280" spans="1:43" ht="14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3"/>
      <c r="AO280" s="3"/>
      <c r="AP280" s="3"/>
      <c r="AQ280" s="3"/>
    </row>
    <row r="281" spans="1:43" ht="14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3"/>
      <c r="AO281" s="3"/>
      <c r="AP281" s="3"/>
      <c r="AQ281" s="3"/>
    </row>
    <row r="282" spans="1:43" ht="14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3"/>
      <c r="AO282" s="3"/>
      <c r="AP282" s="3"/>
      <c r="AQ282" s="3"/>
    </row>
    <row r="283" spans="1:43" ht="14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3"/>
      <c r="AO283" s="3"/>
      <c r="AP283" s="3"/>
      <c r="AQ283" s="3"/>
    </row>
    <row r="284" spans="1:43" ht="14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3"/>
      <c r="AO284" s="3"/>
      <c r="AP284" s="3"/>
      <c r="AQ284" s="3"/>
    </row>
    <row r="285" spans="1:43" ht="14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3"/>
      <c r="AO285" s="3"/>
      <c r="AP285" s="3"/>
      <c r="AQ285" s="3"/>
    </row>
    <row r="286" spans="1:43" ht="14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3"/>
      <c r="AO286" s="3"/>
      <c r="AP286" s="3"/>
      <c r="AQ286" s="3"/>
    </row>
    <row r="287" spans="1:43" ht="14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3"/>
      <c r="AO287" s="3"/>
      <c r="AP287" s="3"/>
      <c r="AQ287" s="3"/>
    </row>
    <row r="288" spans="1:43" ht="14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3"/>
      <c r="AO288" s="3"/>
      <c r="AP288" s="3"/>
      <c r="AQ288" s="3"/>
    </row>
    <row r="289" spans="1:43" ht="14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3"/>
      <c r="AO289" s="3"/>
      <c r="AP289" s="3"/>
      <c r="AQ289" s="3"/>
    </row>
    <row r="290" spans="1:43" ht="14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3"/>
      <c r="AO290" s="3"/>
      <c r="AP290" s="3"/>
      <c r="AQ290" s="3"/>
    </row>
    <row r="291" spans="1:43" ht="14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3"/>
      <c r="AO291" s="3"/>
      <c r="AP291" s="3"/>
      <c r="AQ291" s="3"/>
    </row>
    <row r="292" spans="1:43" ht="14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3"/>
      <c r="AO292" s="3"/>
      <c r="AP292" s="3"/>
      <c r="AQ292" s="3"/>
    </row>
    <row r="293" spans="1:43" ht="14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3"/>
      <c r="AO293" s="3"/>
      <c r="AP293" s="3"/>
      <c r="AQ293" s="3"/>
    </row>
    <row r="294" spans="1:43" ht="14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3"/>
      <c r="AO294" s="3"/>
      <c r="AP294" s="3"/>
      <c r="AQ294" s="3"/>
    </row>
    <row r="295" spans="1:43" ht="14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3"/>
      <c r="AO295" s="3"/>
      <c r="AP295" s="3"/>
      <c r="AQ295" s="3"/>
    </row>
    <row r="296" spans="1:43" ht="14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3"/>
      <c r="AO296" s="3"/>
      <c r="AP296" s="3"/>
      <c r="AQ296" s="3"/>
    </row>
    <row r="297" spans="1:43" ht="14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3"/>
      <c r="AO297" s="3"/>
      <c r="AP297" s="3"/>
      <c r="AQ297" s="3"/>
    </row>
    <row r="298" spans="1:43" ht="14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3"/>
      <c r="AO298" s="3"/>
      <c r="AP298" s="3"/>
      <c r="AQ298" s="3"/>
    </row>
    <row r="299" spans="1:43" ht="14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3"/>
      <c r="AO299" s="3"/>
      <c r="AP299" s="3"/>
      <c r="AQ299" s="3"/>
    </row>
    <row r="300" spans="1:43" ht="14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3"/>
      <c r="AO300" s="3"/>
      <c r="AP300" s="3"/>
      <c r="AQ300" s="3"/>
    </row>
    <row r="301" spans="1:43" ht="14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3"/>
      <c r="AO301" s="3"/>
      <c r="AP301" s="3"/>
      <c r="AQ301" s="3"/>
    </row>
    <row r="302" spans="1:43" ht="14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3"/>
      <c r="AO302" s="3"/>
      <c r="AP302" s="3"/>
      <c r="AQ302" s="3"/>
    </row>
    <row r="303" spans="1:43" ht="14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3"/>
      <c r="AO303" s="3"/>
      <c r="AP303" s="3"/>
      <c r="AQ303" s="3"/>
    </row>
    <row r="304" spans="1:43" ht="14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3"/>
      <c r="AO304" s="3"/>
      <c r="AP304" s="3"/>
      <c r="AQ304" s="3"/>
    </row>
    <row r="305" spans="1:43" ht="14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3"/>
      <c r="AO305" s="3"/>
      <c r="AP305" s="3"/>
      <c r="AQ305" s="3"/>
    </row>
    <row r="306" spans="1:43" ht="14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3"/>
      <c r="AO306" s="3"/>
      <c r="AP306" s="3"/>
      <c r="AQ306" s="3"/>
    </row>
    <row r="307" spans="1:43" ht="14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3"/>
      <c r="AO307" s="3"/>
      <c r="AP307" s="3"/>
      <c r="AQ307" s="3"/>
    </row>
    <row r="308" spans="1:43" ht="14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3"/>
      <c r="AO308" s="3"/>
      <c r="AP308" s="3"/>
      <c r="AQ308" s="3"/>
    </row>
    <row r="309" spans="1:43" ht="14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3"/>
      <c r="AO309" s="3"/>
      <c r="AP309" s="3"/>
      <c r="AQ309" s="3"/>
    </row>
    <row r="310" spans="1:43" ht="14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3"/>
      <c r="AO310" s="3"/>
      <c r="AP310" s="3"/>
      <c r="AQ310" s="3"/>
    </row>
    <row r="311" spans="1:43" ht="14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3"/>
      <c r="AO311" s="3"/>
      <c r="AP311" s="3"/>
      <c r="AQ311" s="3"/>
    </row>
    <row r="312" spans="1:43" ht="14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3"/>
      <c r="AO312" s="3"/>
      <c r="AP312" s="3"/>
      <c r="AQ312" s="3"/>
    </row>
    <row r="313" spans="1:43" ht="14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3"/>
      <c r="AO313" s="3"/>
      <c r="AP313" s="3"/>
      <c r="AQ313" s="3"/>
    </row>
    <row r="314" spans="1:43" ht="14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3"/>
      <c r="AO314" s="3"/>
      <c r="AP314" s="3"/>
      <c r="AQ314" s="3"/>
    </row>
    <row r="315" spans="1:43" ht="14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3"/>
      <c r="AO315" s="3"/>
      <c r="AP315" s="3"/>
      <c r="AQ315" s="3"/>
    </row>
    <row r="316" spans="1:43" ht="14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3"/>
      <c r="AO316" s="3"/>
      <c r="AP316" s="3"/>
      <c r="AQ316" s="3"/>
    </row>
    <row r="317" spans="1:43" ht="14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3"/>
      <c r="AO317" s="3"/>
      <c r="AP317" s="3"/>
      <c r="AQ317" s="3"/>
    </row>
    <row r="318" spans="1:43" ht="14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3"/>
      <c r="AO318" s="3"/>
      <c r="AP318" s="3"/>
      <c r="AQ318" s="3"/>
    </row>
    <row r="319" spans="1:43" ht="14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3"/>
      <c r="AO319" s="3"/>
      <c r="AP319" s="3"/>
      <c r="AQ319" s="3"/>
    </row>
    <row r="320" spans="1:43" ht="14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3"/>
      <c r="AO320" s="3"/>
      <c r="AP320" s="3"/>
      <c r="AQ320" s="3"/>
    </row>
    <row r="321" spans="1:43" ht="14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3"/>
      <c r="AO321" s="3"/>
      <c r="AP321" s="3"/>
      <c r="AQ321" s="3"/>
    </row>
    <row r="322" spans="1:43" ht="14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3"/>
      <c r="AO322" s="3"/>
      <c r="AP322" s="3"/>
      <c r="AQ322" s="3"/>
    </row>
    <row r="323" spans="1:43" ht="14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3"/>
      <c r="AO323" s="3"/>
      <c r="AP323" s="3"/>
      <c r="AQ323" s="3"/>
    </row>
    <row r="324" spans="1:43" ht="14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3"/>
      <c r="AO324" s="3"/>
      <c r="AP324" s="3"/>
      <c r="AQ324" s="3"/>
    </row>
    <row r="325" spans="1:43" ht="14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3"/>
      <c r="AO325" s="3"/>
      <c r="AP325" s="3"/>
      <c r="AQ325" s="3"/>
    </row>
    <row r="326" spans="1:43" ht="14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3"/>
      <c r="AO326" s="3"/>
      <c r="AP326" s="3"/>
      <c r="AQ326" s="3"/>
    </row>
    <row r="327" spans="1:43" ht="14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3"/>
      <c r="AO327" s="3"/>
      <c r="AP327" s="3"/>
      <c r="AQ327" s="3"/>
    </row>
    <row r="328" spans="1:43" ht="14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3"/>
      <c r="AO328" s="3"/>
      <c r="AP328" s="3"/>
      <c r="AQ328" s="3"/>
    </row>
    <row r="329" spans="1:43" ht="14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3"/>
      <c r="AO329" s="3"/>
      <c r="AP329" s="3"/>
      <c r="AQ329" s="3"/>
    </row>
    <row r="330" spans="1:43" ht="14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3"/>
      <c r="AO330" s="3"/>
      <c r="AP330" s="3"/>
      <c r="AQ330" s="3"/>
    </row>
    <row r="331" spans="1:43" ht="14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3"/>
      <c r="AO331" s="3"/>
      <c r="AP331" s="3"/>
      <c r="AQ331" s="3"/>
    </row>
    <row r="332" spans="1:43" ht="14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3"/>
      <c r="AO332" s="3"/>
      <c r="AP332" s="3"/>
      <c r="AQ332" s="3"/>
    </row>
    <row r="333" spans="1:43" ht="14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3"/>
      <c r="AO333" s="3"/>
      <c r="AP333" s="3"/>
      <c r="AQ333" s="3"/>
    </row>
    <row r="334" spans="1:43" ht="14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3"/>
      <c r="AO334" s="3"/>
      <c r="AP334" s="3"/>
      <c r="AQ334" s="3"/>
    </row>
    <row r="335" spans="1:43" ht="14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3"/>
      <c r="AO335" s="3"/>
      <c r="AP335" s="3"/>
      <c r="AQ335" s="3"/>
    </row>
    <row r="336" spans="1:43" ht="14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3"/>
      <c r="AO336" s="3"/>
      <c r="AP336" s="3"/>
      <c r="AQ336" s="3"/>
    </row>
    <row r="337" spans="1:43" ht="14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3"/>
      <c r="AO337" s="3"/>
      <c r="AP337" s="3"/>
      <c r="AQ337" s="3"/>
    </row>
    <row r="338" spans="1:43" ht="14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3"/>
      <c r="AO338" s="3"/>
      <c r="AP338" s="3"/>
      <c r="AQ338" s="3"/>
    </row>
    <row r="339" spans="1:43" ht="14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3"/>
      <c r="AO339" s="3"/>
      <c r="AP339" s="3"/>
      <c r="AQ339" s="3"/>
    </row>
    <row r="340" spans="1:43" ht="14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3"/>
      <c r="AO340" s="3"/>
      <c r="AP340" s="3"/>
      <c r="AQ340" s="3"/>
    </row>
    <row r="341" spans="1:43" ht="14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3"/>
      <c r="AO341" s="3"/>
      <c r="AP341" s="3"/>
      <c r="AQ341" s="3"/>
    </row>
    <row r="342" spans="1:43" ht="14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3"/>
      <c r="AO342" s="3"/>
      <c r="AP342" s="3"/>
      <c r="AQ342" s="3"/>
    </row>
    <row r="343" spans="1:43" ht="14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3"/>
      <c r="AO343" s="3"/>
      <c r="AP343" s="3"/>
      <c r="AQ343" s="3"/>
    </row>
    <row r="344" spans="1:43" ht="14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3"/>
      <c r="AO344" s="3"/>
      <c r="AP344" s="3"/>
      <c r="AQ344" s="3"/>
    </row>
    <row r="345" spans="1:43" ht="14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3"/>
      <c r="AO345" s="3"/>
      <c r="AP345" s="3"/>
      <c r="AQ345" s="3"/>
    </row>
    <row r="346" spans="1:43" ht="14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3"/>
      <c r="AO346" s="3"/>
      <c r="AP346" s="3"/>
      <c r="AQ346" s="3"/>
    </row>
    <row r="347" spans="1:43" ht="14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3"/>
      <c r="AO347" s="3"/>
      <c r="AP347" s="3"/>
      <c r="AQ347" s="3"/>
    </row>
    <row r="348" spans="1:43" ht="14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3"/>
      <c r="AO348" s="3"/>
      <c r="AP348" s="3"/>
      <c r="AQ348" s="3"/>
    </row>
    <row r="349" spans="1:43" ht="14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3"/>
      <c r="AO349" s="3"/>
      <c r="AP349" s="3"/>
      <c r="AQ349" s="3"/>
    </row>
    <row r="350" spans="1:43" ht="14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3"/>
      <c r="AO350" s="3"/>
      <c r="AP350" s="3"/>
      <c r="AQ350" s="3"/>
    </row>
    <row r="351" spans="1:43" ht="14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3"/>
      <c r="AO351" s="3"/>
      <c r="AP351" s="3"/>
      <c r="AQ351" s="3"/>
    </row>
    <row r="352" spans="1:43" ht="14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3"/>
      <c r="AO352" s="3"/>
      <c r="AP352" s="3"/>
      <c r="AQ352" s="3"/>
    </row>
    <row r="353" spans="1:43" ht="14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3"/>
      <c r="AO353" s="3"/>
      <c r="AP353" s="3"/>
      <c r="AQ353" s="3"/>
    </row>
    <row r="354" spans="1:43" ht="14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3"/>
      <c r="AO354" s="3"/>
      <c r="AP354" s="3"/>
      <c r="AQ354" s="3"/>
    </row>
    <row r="355" spans="1:43" ht="14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3"/>
      <c r="AO355" s="3"/>
      <c r="AP355" s="3"/>
      <c r="AQ355" s="3"/>
    </row>
    <row r="356" spans="1:43" ht="14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3"/>
      <c r="AO356" s="3"/>
      <c r="AP356" s="3"/>
      <c r="AQ356" s="3"/>
    </row>
    <row r="357" spans="1:43" ht="14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3"/>
      <c r="AO357" s="3"/>
      <c r="AP357" s="3"/>
      <c r="AQ357" s="3"/>
    </row>
    <row r="358" spans="1:43" ht="14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3"/>
      <c r="AO358" s="3"/>
      <c r="AP358" s="3"/>
      <c r="AQ358" s="3"/>
    </row>
    <row r="359" spans="1:43" ht="14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3"/>
      <c r="AO359" s="3"/>
      <c r="AP359" s="3"/>
      <c r="AQ359" s="3"/>
    </row>
    <row r="360" spans="1:43" ht="14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3"/>
      <c r="AO360" s="3"/>
      <c r="AP360" s="3"/>
      <c r="AQ360" s="3"/>
    </row>
    <row r="361" spans="1:43" ht="14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3"/>
      <c r="AO361" s="3"/>
      <c r="AP361" s="3"/>
      <c r="AQ361" s="3"/>
    </row>
    <row r="362" spans="1:43" ht="14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3"/>
      <c r="AO362" s="3"/>
      <c r="AP362" s="3"/>
      <c r="AQ362" s="3"/>
    </row>
    <row r="363" spans="1:43" ht="14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3"/>
      <c r="AO363" s="3"/>
      <c r="AP363" s="3"/>
      <c r="AQ363" s="3"/>
    </row>
    <row r="364" spans="1:43" ht="14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3"/>
      <c r="AO364" s="3"/>
      <c r="AP364" s="3"/>
      <c r="AQ364" s="3"/>
    </row>
    <row r="365" spans="1:43" ht="14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3"/>
      <c r="AO365" s="3"/>
      <c r="AP365" s="3"/>
      <c r="AQ365" s="3"/>
    </row>
    <row r="366" spans="1:43" ht="14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3"/>
      <c r="AO366" s="3"/>
      <c r="AP366" s="3"/>
      <c r="AQ366" s="3"/>
    </row>
    <row r="367" spans="1:43" ht="14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3"/>
      <c r="AO367" s="3"/>
      <c r="AP367" s="3"/>
      <c r="AQ367" s="3"/>
    </row>
    <row r="368" spans="1:43" ht="14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3"/>
      <c r="AO368" s="3"/>
      <c r="AP368" s="3"/>
      <c r="AQ368" s="3"/>
    </row>
    <row r="369" spans="1:43" ht="14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3"/>
      <c r="AO369" s="3"/>
      <c r="AP369" s="3"/>
      <c r="AQ369" s="3"/>
    </row>
    <row r="370" spans="1:43" ht="14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3"/>
      <c r="AO370" s="3"/>
      <c r="AP370" s="3"/>
      <c r="AQ370" s="3"/>
    </row>
    <row r="371" spans="1:43" ht="14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3"/>
      <c r="AO371" s="3"/>
      <c r="AP371" s="3"/>
      <c r="AQ371" s="3"/>
    </row>
    <row r="372" spans="1:43" ht="14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3"/>
      <c r="AO372" s="3"/>
      <c r="AP372" s="3"/>
      <c r="AQ372" s="3"/>
    </row>
    <row r="373" spans="1:43" ht="14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3"/>
      <c r="AO373" s="3"/>
      <c r="AP373" s="3"/>
      <c r="AQ373" s="3"/>
    </row>
    <row r="374" spans="1:43" ht="14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3"/>
      <c r="AO374" s="3"/>
      <c r="AP374" s="3"/>
      <c r="AQ374" s="3"/>
    </row>
    <row r="375" spans="1:43" ht="14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3"/>
      <c r="AO375" s="3"/>
      <c r="AP375" s="3"/>
      <c r="AQ375" s="3"/>
    </row>
    <row r="376" spans="1:43" ht="14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3"/>
      <c r="AO376" s="3"/>
      <c r="AP376" s="3"/>
      <c r="AQ376" s="3"/>
    </row>
    <row r="377" spans="1:43" ht="14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3"/>
      <c r="AO377" s="3"/>
      <c r="AP377" s="3"/>
      <c r="AQ377" s="3"/>
    </row>
    <row r="378" spans="1:43" ht="14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3"/>
      <c r="AO378" s="3"/>
      <c r="AP378" s="3"/>
      <c r="AQ378" s="3"/>
    </row>
    <row r="379" spans="1:43" ht="14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3"/>
      <c r="AO379" s="3"/>
      <c r="AP379" s="3"/>
      <c r="AQ379" s="3"/>
    </row>
    <row r="380" spans="1:43" ht="14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3"/>
      <c r="AO380" s="3"/>
      <c r="AP380" s="3"/>
      <c r="AQ380" s="3"/>
    </row>
    <row r="381" spans="1:43" ht="14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3"/>
      <c r="AO381" s="3"/>
      <c r="AP381" s="3"/>
      <c r="AQ381" s="3"/>
    </row>
    <row r="382" spans="1:43" ht="14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3"/>
      <c r="AO382" s="3"/>
      <c r="AP382" s="3"/>
      <c r="AQ382" s="3"/>
    </row>
    <row r="383" spans="1:43" ht="14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3"/>
      <c r="AO383" s="3"/>
      <c r="AP383" s="3"/>
      <c r="AQ383" s="3"/>
    </row>
    <row r="384" spans="1:43" ht="14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3"/>
      <c r="AO384" s="3"/>
      <c r="AP384" s="3"/>
      <c r="AQ384" s="3"/>
    </row>
    <row r="385" spans="1:43" ht="14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3"/>
      <c r="AO385" s="3"/>
      <c r="AP385" s="3"/>
      <c r="AQ385" s="3"/>
    </row>
    <row r="386" spans="1:43" ht="14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3"/>
      <c r="AO386" s="3"/>
      <c r="AP386" s="3"/>
      <c r="AQ386" s="3"/>
    </row>
    <row r="387" spans="1:43" ht="14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3"/>
      <c r="AO387" s="3"/>
      <c r="AP387" s="3"/>
      <c r="AQ387" s="3"/>
    </row>
    <row r="388" spans="1:43" ht="14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3"/>
      <c r="AO388" s="3"/>
      <c r="AP388" s="3"/>
      <c r="AQ388" s="3"/>
    </row>
    <row r="389" spans="1:43" ht="14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3"/>
      <c r="AO389" s="3"/>
      <c r="AP389" s="3"/>
      <c r="AQ389" s="3"/>
    </row>
    <row r="390" spans="1:43" ht="14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3"/>
      <c r="AO390" s="3"/>
      <c r="AP390" s="3"/>
      <c r="AQ390" s="3"/>
    </row>
    <row r="391" spans="1:43" ht="14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3"/>
      <c r="AO391" s="3"/>
      <c r="AP391" s="3"/>
      <c r="AQ391" s="3"/>
    </row>
    <row r="392" spans="1:43" ht="14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3"/>
      <c r="AO392" s="3"/>
      <c r="AP392" s="3"/>
      <c r="AQ392" s="3"/>
    </row>
    <row r="393" spans="1:43" ht="14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3"/>
      <c r="AO393" s="3"/>
      <c r="AP393" s="3"/>
      <c r="AQ393" s="3"/>
    </row>
    <row r="394" spans="1:43" ht="14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3"/>
      <c r="AO394" s="3"/>
      <c r="AP394" s="3"/>
      <c r="AQ394" s="3"/>
    </row>
    <row r="395" spans="1:43" ht="14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3"/>
      <c r="AO395" s="3"/>
      <c r="AP395" s="3"/>
      <c r="AQ395" s="3"/>
    </row>
    <row r="396" spans="1:43" ht="14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3"/>
      <c r="AO396" s="3"/>
      <c r="AP396" s="3"/>
      <c r="AQ396" s="3"/>
    </row>
    <row r="397" spans="1:43" ht="14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3"/>
      <c r="AO397" s="3"/>
      <c r="AP397" s="3"/>
      <c r="AQ397" s="3"/>
    </row>
    <row r="398" spans="1:43" ht="14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3"/>
      <c r="AO398" s="3"/>
      <c r="AP398" s="3"/>
      <c r="AQ398" s="3"/>
    </row>
    <row r="399" spans="1:43" ht="14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3"/>
      <c r="AO399" s="3"/>
      <c r="AP399" s="3"/>
      <c r="AQ399" s="3"/>
    </row>
    <row r="400" spans="1:43" ht="14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3"/>
      <c r="AO400" s="3"/>
      <c r="AP400" s="3"/>
      <c r="AQ400" s="3"/>
    </row>
    <row r="401" spans="1:43" ht="14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3"/>
      <c r="AO401" s="3"/>
      <c r="AP401" s="3"/>
      <c r="AQ401" s="3"/>
    </row>
    <row r="402" spans="1:43" ht="14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3"/>
      <c r="AO402" s="3"/>
      <c r="AP402" s="3"/>
      <c r="AQ402" s="3"/>
    </row>
    <row r="403" spans="1:43" ht="14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3"/>
      <c r="AO403" s="3"/>
      <c r="AP403" s="3"/>
      <c r="AQ403" s="3"/>
    </row>
    <row r="404" spans="1:43" ht="14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3"/>
      <c r="AO404" s="3"/>
      <c r="AP404" s="3"/>
      <c r="AQ404" s="3"/>
    </row>
    <row r="405" spans="1:43" ht="14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3"/>
      <c r="AO405" s="3"/>
      <c r="AP405" s="3"/>
      <c r="AQ405" s="3"/>
    </row>
    <row r="406" spans="1:43" ht="14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3"/>
      <c r="AO406" s="3"/>
      <c r="AP406" s="3"/>
      <c r="AQ406" s="3"/>
    </row>
    <row r="407" spans="1:43" ht="14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3"/>
      <c r="AO407" s="3"/>
      <c r="AP407" s="3"/>
      <c r="AQ407" s="3"/>
    </row>
    <row r="408" spans="1:43" ht="14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3"/>
      <c r="AO408" s="3"/>
      <c r="AP408" s="3"/>
      <c r="AQ408" s="3"/>
    </row>
    <row r="409" spans="1:43" ht="14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3"/>
      <c r="AO409" s="3"/>
      <c r="AP409" s="3"/>
      <c r="AQ409" s="3"/>
    </row>
    <row r="410" spans="1:43" ht="14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3"/>
      <c r="AO410" s="3"/>
      <c r="AP410" s="3"/>
      <c r="AQ410" s="3"/>
    </row>
    <row r="411" spans="1:43" ht="14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3"/>
      <c r="AO411" s="3"/>
      <c r="AP411" s="3"/>
      <c r="AQ411" s="3"/>
    </row>
    <row r="412" spans="1:43" ht="14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3"/>
      <c r="AO412" s="3"/>
      <c r="AP412" s="3"/>
      <c r="AQ412" s="3"/>
    </row>
    <row r="413" spans="1:43" ht="14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3"/>
      <c r="AO413" s="3"/>
      <c r="AP413" s="3"/>
      <c r="AQ413" s="3"/>
    </row>
    <row r="414" spans="1:43" ht="14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3"/>
      <c r="AO414" s="3"/>
      <c r="AP414" s="3"/>
      <c r="AQ414" s="3"/>
    </row>
    <row r="415" spans="1:43" ht="14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3"/>
      <c r="AO415" s="3"/>
      <c r="AP415" s="3"/>
      <c r="AQ415" s="3"/>
    </row>
    <row r="416" spans="1:43" ht="14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3"/>
      <c r="AO416" s="3"/>
      <c r="AP416" s="3"/>
      <c r="AQ416" s="3"/>
    </row>
    <row r="417" spans="1:43" ht="14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3"/>
      <c r="AO417" s="3"/>
      <c r="AP417" s="3"/>
      <c r="AQ417" s="3"/>
    </row>
    <row r="418" spans="1:43" ht="14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3"/>
      <c r="AO418" s="3"/>
      <c r="AP418" s="3"/>
      <c r="AQ418" s="3"/>
    </row>
    <row r="419" spans="1:43" ht="14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3"/>
      <c r="AO419" s="3"/>
      <c r="AP419" s="3"/>
      <c r="AQ419" s="3"/>
    </row>
    <row r="420" spans="1:43" ht="14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3"/>
      <c r="AO420" s="3"/>
      <c r="AP420" s="3"/>
      <c r="AQ420" s="3"/>
    </row>
    <row r="421" spans="1:43" ht="14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3"/>
      <c r="AO421" s="3"/>
      <c r="AP421" s="3"/>
      <c r="AQ421" s="3"/>
    </row>
    <row r="422" spans="1:43" ht="14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3"/>
      <c r="AO422" s="3"/>
      <c r="AP422" s="3"/>
      <c r="AQ422" s="3"/>
    </row>
    <row r="423" spans="1:43" ht="14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3"/>
      <c r="AO423" s="3"/>
      <c r="AP423" s="3"/>
      <c r="AQ423" s="3"/>
    </row>
    <row r="424" spans="1:43" ht="14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3"/>
      <c r="AO424" s="3"/>
      <c r="AP424" s="3"/>
      <c r="AQ424" s="3"/>
    </row>
    <row r="425" spans="1:43" ht="14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3"/>
      <c r="AO425" s="3"/>
      <c r="AP425" s="3"/>
      <c r="AQ425" s="3"/>
    </row>
    <row r="426" spans="1:43" ht="14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3"/>
      <c r="AO426" s="3"/>
      <c r="AP426" s="3"/>
      <c r="AQ426" s="3"/>
    </row>
    <row r="427" spans="1:43" ht="14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3"/>
      <c r="AO427" s="3"/>
      <c r="AP427" s="3"/>
      <c r="AQ427" s="3"/>
    </row>
    <row r="428" spans="1:43" ht="14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3"/>
      <c r="AO428" s="3"/>
      <c r="AP428" s="3"/>
      <c r="AQ428" s="3"/>
    </row>
    <row r="429" spans="1:43" ht="14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3"/>
      <c r="AO429" s="3"/>
      <c r="AP429" s="3"/>
      <c r="AQ429" s="3"/>
    </row>
    <row r="430" spans="1:43" ht="14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3"/>
      <c r="AO430" s="3"/>
      <c r="AP430" s="3"/>
      <c r="AQ430" s="3"/>
    </row>
    <row r="431" spans="1:43" ht="14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3"/>
      <c r="AO431" s="3"/>
      <c r="AP431" s="3"/>
      <c r="AQ431" s="3"/>
    </row>
    <row r="432" spans="1:43" ht="14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3"/>
      <c r="AO432" s="3"/>
      <c r="AP432" s="3"/>
      <c r="AQ432" s="3"/>
    </row>
    <row r="433" spans="1:43" ht="14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3"/>
      <c r="AO433" s="3"/>
      <c r="AP433" s="3"/>
      <c r="AQ433" s="3"/>
    </row>
    <row r="434" spans="1:43" ht="14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3"/>
      <c r="AO434" s="3"/>
      <c r="AP434" s="3"/>
      <c r="AQ434" s="3"/>
    </row>
    <row r="435" spans="1:43" ht="14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3"/>
      <c r="AO435" s="3"/>
      <c r="AP435" s="3"/>
      <c r="AQ435" s="3"/>
    </row>
    <row r="436" spans="1:43" ht="14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3"/>
      <c r="AO436" s="3"/>
      <c r="AP436" s="3"/>
      <c r="AQ436" s="3"/>
    </row>
    <row r="437" spans="1:43" ht="14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3"/>
      <c r="AO437" s="3"/>
      <c r="AP437" s="3"/>
      <c r="AQ437" s="3"/>
    </row>
    <row r="438" spans="1:43" ht="14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3"/>
      <c r="AO438" s="3"/>
      <c r="AP438" s="3"/>
      <c r="AQ438" s="3"/>
    </row>
    <row r="439" spans="1:43" ht="14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3"/>
      <c r="AO439" s="3"/>
      <c r="AP439" s="3"/>
      <c r="AQ439" s="3"/>
    </row>
    <row r="440" spans="1:43" ht="14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3"/>
      <c r="AO440" s="3"/>
      <c r="AP440" s="3"/>
      <c r="AQ440" s="3"/>
    </row>
    <row r="441" spans="1:43" ht="14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3"/>
      <c r="AO441" s="3"/>
      <c r="AP441" s="3"/>
      <c r="AQ441" s="3"/>
    </row>
    <row r="442" spans="1:43" ht="14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3"/>
      <c r="AO442" s="3"/>
      <c r="AP442" s="3"/>
      <c r="AQ442" s="3"/>
    </row>
    <row r="443" spans="1:43" ht="14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3"/>
      <c r="AO443" s="3"/>
      <c r="AP443" s="3"/>
      <c r="AQ443" s="3"/>
    </row>
    <row r="444" spans="1:43" ht="14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3"/>
      <c r="AO444" s="3"/>
      <c r="AP444" s="3"/>
      <c r="AQ444" s="3"/>
    </row>
    <row r="445" spans="1:43" ht="14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3"/>
      <c r="AO445" s="3"/>
      <c r="AP445" s="3"/>
      <c r="AQ445" s="3"/>
    </row>
    <row r="446" spans="1:43" ht="14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3"/>
      <c r="AO446" s="3"/>
      <c r="AP446" s="3"/>
      <c r="AQ446" s="3"/>
    </row>
    <row r="447" spans="1:43" ht="14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3"/>
      <c r="AO447" s="3"/>
      <c r="AP447" s="3"/>
      <c r="AQ447" s="3"/>
    </row>
    <row r="448" spans="1:43" ht="14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3"/>
      <c r="AO448" s="3"/>
      <c r="AP448" s="3"/>
      <c r="AQ448" s="3"/>
    </row>
    <row r="449" spans="1:43" ht="14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3"/>
      <c r="AO449" s="3"/>
      <c r="AP449" s="3"/>
      <c r="AQ449" s="3"/>
    </row>
    <row r="450" spans="1:43" ht="14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3"/>
      <c r="AO450" s="3"/>
      <c r="AP450" s="3"/>
      <c r="AQ450" s="3"/>
    </row>
    <row r="451" spans="1:43" ht="14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3"/>
      <c r="AO451" s="3"/>
      <c r="AP451" s="3"/>
      <c r="AQ451" s="3"/>
    </row>
    <row r="452" spans="1:43" ht="14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3"/>
      <c r="AO452" s="3"/>
      <c r="AP452" s="3"/>
      <c r="AQ452" s="3"/>
    </row>
    <row r="453" spans="1:43" ht="14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3"/>
      <c r="AO453" s="3"/>
      <c r="AP453" s="3"/>
      <c r="AQ453" s="3"/>
    </row>
    <row r="454" spans="1:43" ht="14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3"/>
      <c r="AO454" s="3"/>
      <c r="AP454" s="3"/>
      <c r="AQ454" s="3"/>
    </row>
    <row r="455" spans="1:43" ht="14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3"/>
      <c r="AO455" s="3"/>
      <c r="AP455" s="3"/>
      <c r="AQ455" s="3"/>
    </row>
    <row r="456" spans="1:43" ht="14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3"/>
      <c r="AO456" s="3"/>
      <c r="AP456" s="3"/>
      <c r="AQ456" s="3"/>
    </row>
    <row r="457" spans="1:43" ht="14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3"/>
      <c r="AO457" s="3"/>
      <c r="AP457" s="3"/>
      <c r="AQ457" s="3"/>
    </row>
    <row r="458" spans="1:43" ht="14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3"/>
      <c r="AO458" s="3"/>
      <c r="AP458" s="3"/>
      <c r="AQ458" s="3"/>
    </row>
    <row r="459" spans="1:43" ht="14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3"/>
      <c r="AO459" s="3"/>
      <c r="AP459" s="3"/>
      <c r="AQ459" s="3"/>
    </row>
    <row r="460" spans="1:43" ht="14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3"/>
      <c r="AO460" s="3"/>
      <c r="AP460" s="3"/>
      <c r="AQ460" s="3"/>
    </row>
    <row r="461" spans="1:43" ht="14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3"/>
      <c r="AO461" s="3"/>
      <c r="AP461" s="3"/>
      <c r="AQ461" s="3"/>
    </row>
    <row r="462" spans="1:43" ht="14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3"/>
      <c r="AO462" s="3"/>
      <c r="AP462" s="3"/>
      <c r="AQ462" s="3"/>
    </row>
    <row r="463" spans="1:43" ht="14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3"/>
      <c r="AO463" s="3"/>
      <c r="AP463" s="3"/>
      <c r="AQ463" s="3"/>
    </row>
    <row r="464" spans="1:43" ht="14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3"/>
      <c r="AO464" s="3"/>
      <c r="AP464" s="3"/>
      <c r="AQ464" s="3"/>
    </row>
    <row r="465" spans="1:43" ht="14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3"/>
      <c r="AO465" s="3"/>
      <c r="AP465" s="3"/>
      <c r="AQ465" s="3"/>
    </row>
    <row r="466" spans="1:43" ht="14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3"/>
      <c r="AO466" s="3"/>
      <c r="AP466" s="3"/>
      <c r="AQ466" s="3"/>
    </row>
    <row r="467" spans="1:43" ht="14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3"/>
      <c r="AO467" s="3"/>
      <c r="AP467" s="3"/>
      <c r="AQ467" s="3"/>
    </row>
    <row r="468" spans="1:43" ht="14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3"/>
      <c r="AO468" s="3"/>
      <c r="AP468" s="3"/>
      <c r="AQ468" s="3"/>
    </row>
    <row r="469" spans="1:43" ht="14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3"/>
      <c r="AO469" s="3"/>
      <c r="AP469" s="3"/>
      <c r="AQ469" s="3"/>
    </row>
    <row r="470" spans="1:43" ht="14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3"/>
      <c r="AO470" s="3"/>
      <c r="AP470" s="3"/>
      <c r="AQ470" s="3"/>
    </row>
    <row r="471" spans="1:43" ht="14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3"/>
      <c r="AO471" s="3"/>
      <c r="AP471" s="3"/>
      <c r="AQ471" s="3"/>
    </row>
    <row r="472" spans="1:43" ht="14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3"/>
      <c r="AO472" s="3"/>
      <c r="AP472" s="3"/>
      <c r="AQ472" s="3"/>
    </row>
    <row r="473" spans="1:43" ht="14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3"/>
      <c r="AO473" s="3"/>
      <c r="AP473" s="3"/>
      <c r="AQ473" s="3"/>
    </row>
    <row r="474" spans="1:43" ht="14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3"/>
      <c r="AO474" s="3"/>
      <c r="AP474" s="3"/>
      <c r="AQ474" s="3"/>
    </row>
    <row r="475" spans="1:43" ht="14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3"/>
      <c r="AO475" s="3"/>
      <c r="AP475" s="3"/>
      <c r="AQ475" s="3"/>
    </row>
    <row r="476" spans="1:43" ht="14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3"/>
      <c r="AO476" s="3"/>
      <c r="AP476" s="3"/>
      <c r="AQ476" s="3"/>
    </row>
    <row r="477" spans="1:43" ht="14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3"/>
      <c r="AO477" s="3"/>
      <c r="AP477" s="3"/>
      <c r="AQ477" s="3"/>
    </row>
    <row r="478" spans="1:43" ht="14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3"/>
      <c r="AO478" s="3"/>
      <c r="AP478" s="3"/>
      <c r="AQ478" s="3"/>
    </row>
    <row r="479" spans="1:43" ht="14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3"/>
      <c r="AO479" s="3"/>
      <c r="AP479" s="3"/>
      <c r="AQ479" s="3"/>
    </row>
    <row r="480" spans="1:43" ht="14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3"/>
      <c r="AO480" s="3"/>
      <c r="AP480" s="3"/>
      <c r="AQ480" s="3"/>
    </row>
    <row r="481" spans="1:43" ht="14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3"/>
      <c r="AO481" s="3"/>
      <c r="AP481" s="3"/>
      <c r="AQ481" s="3"/>
    </row>
    <row r="482" spans="1:43" ht="14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3"/>
      <c r="AO482" s="3"/>
      <c r="AP482" s="3"/>
      <c r="AQ482" s="3"/>
    </row>
    <row r="483" spans="1:43" ht="14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3"/>
      <c r="AO483" s="3"/>
      <c r="AP483" s="3"/>
      <c r="AQ483" s="3"/>
    </row>
    <row r="484" spans="1:43" ht="14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3"/>
      <c r="AO484" s="3"/>
      <c r="AP484" s="3"/>
      <c r="AQ484" s="3"/>
    </row>
    <row r="485" spans="1:43" ht="14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3"/>
      <c r="AO485" s="3"/>
      <c r="AP485" s="3"/>
      <c r="AQ485" s="3"/>
    </row>
    <row r="486" spans="1:43" ht="14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3"/>
      <c r="AO486" s="3"/>
      <c r="AP486" s="3"/>
      <c r="AQ486" s="3"/>
    </row>
    <row r="487" spans="1:43" ht="14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3"/>
      <c r="AO487" s="3"/>
      <c r="AP487" s="3"/>
      <c r="AQ487" s="3"/>
    </row>
    <row r="488" spans="1:43" ht="14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3"/>
      <c r="AO488" s="3"/>
      <c r="AP488" s="3"/>
      <c r="AQ488" s="3"/>
    </row>
    <row r="489" spans="1:43" ht="14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3"/>
      <c r="AO489" s="3"/>
      <c r="AP489" s="3"/>
      <c r="AQ489" s="3"/>
    </row>
    <row r="490" spans="1:43" ht="14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3"/>
      <c r="AO490" s="3"/>
      <c r="AP490" s="3"/>
      <c r="AQ490" s="3"/>
    </row>
    <row r="491" spans="1:43" ht="14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3"/>
      <c r="AO491" s="3"/>
      <c r="AP491" s="3"/>
      <c r="AQ491" s="3"/>
    </row>
    <row r="492" spans="1:43" ht="14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3"/>
      <c r="AO492" s="3"/>
      <c r="AP492" s="3"/>
      <c r="AQ492" s="3"/>
    </row>
    <row r="493" spans="1:43" ht="14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3"/>
      <c r="AO493" s="3"/>
      <c r="AP493" s="3"/>
      <c r="AQ493" s="3"/>
    </row>
    <row r="494" spans="1:43" ht="14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3"/>
      <c r="AO494" s="3"/>
      <c r="AP494" s="3"/>
      <c r="AQ494" s="3"/>
    </row>
    <row r="495" spans="1:43" ht="14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3"/>
      <c r="AO495" s="3"/>
      <c r="AP495" s="3"/>
      <c r="AQ495" s="3"/>
    </row>
    <row r="496" spans="1:43" ht="14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3"/>
      <c r="AO496" s="3"/>
      <c r="AP496" s="3"/>
      <c r="AQ496" s="3"/>
    </row>
    <row r="497" spans="1:43" ht="14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3"/>
      <c r="AO497" s="3"/>
      <c r="AP497" s="3"/>
      <c r="AQ497" s="3"/>
    </row>
    <row r="498" spans="1:43" ht="14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3"/>
      <c r="AO498" s="3"/>
      <c r="AP498" s="3"/>
      <c r="AQ498" s="3"/>
    </row>
    <row r="499" spans="1:43" ht="14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3"/>
      <c r="AO499" s="3"/>
      <c r="AP499" s="3"/>
      <c r="AQ499" s="3"/>
    </row>
    <row r="500" spans="1:43" ht="14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3"/>
      <c r="AO500" s="3"/>
      <c r="AP500" s="3"/>
      <c r="AQ500" s="3"/>
    </row>
    <row r="501" spans="1:43" ht="14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3"/>
      <c r="AO501" s="3"/>
      <c r="AP501" s="3"/>
      <c r="AQ501" s="3"/>
    </row>
    <row r="502" spans="1:43" ht="14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3"/>
      <c r="AO502" s="3"/>
      <c r="AP502" s="3"/>
      <c r="AQ502" s="3"/>
    </row>
    <row r="503" spans="1:43" ht="14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3"/>
      <c r="AO503" s="3"/>
      <c r="AP503" s="3"/>
      <c r="AQ503" s="3"/>
    </row>
    <row r="504" spans="1:43" ht="14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3"/>
      <c r="AO504" s="3"/>
      <c r="AP504" s="3"/>
      <c r="AQ504" s="3"/>
    </row>
    <row r="505" spans="1:43" ht="14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3"/>
      <c r="AO505" s="3"/>
      <c r="AP505" s="3"/>
      <c r="AQ505" s="3"/>
    </row>
    <row r="506" spans="1:43" ht="14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3"/>
      <c r="AO506" s="3"/>
      <c r="AP506" s="3"/>
      <c r="AQ506" s="3"/>
    </row>
    <row r="507" spans="1:43" ht="14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3"/>
      <c r="AO507" s="3"/>
      <c r="AP507" s="3"/>
      <c r="AQ507" s="3"/>
    </row>
    <row r="508" spans="1:43" ht="14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3"/>
      <c r="AO508" s="3"/>
      <c r="AP508" s="3"/>
      <c r="AQ508" s="3"/>
    </row>
    <row r="509" spans="1:43" ht="14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3"/>
      <c r="AO509" s="3"/>
      <c r="AP509" s="3"/>
      <c r="AQ509" s="3"/>
    </row>
    <row r="510" spans="1:43" ht="14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3"/>
      <c r="AO510" s="3"/>
      <c r="AP510" s="3"/>
      <c r="AQ510" s="3"/>
    </row>
    <row r="511" spans="1:43" ht="14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3"/>
      <c r="AO511" s="3"/>
      <c r="AP511" s="3"/>
      <c r="AQ511" s="3"/>
    </row>
    <row r="512" spans="1:43" ht="14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3"/>
      <c r="AO512" s="3"/>
      <c r="AP512" s="3"/>
      <c r="AQ512" s="3"/>
    </row>
    <row r="513" spans="1:43" ht="14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3"/>
      <c r="AO513" s="3"/>
      <c r="AP513" s="3"/>
      <c r="AQ513" s="3"/>
    </row>
    <row r="514" spans="1:43" ht="14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3"/>
      <c r="AO514" s="3"/>
      <c r="AP514" s="3"/>
      <c r="AQ514" s="3"/>
    </row>
    <row r="515" spans="1:43" ht="14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3"/>
      <c r="AO515" s="3"/>
      <c r="AP515" s="3"/>
      <c r="AQ515" s="3"/>
    </row>
    <row r="516" spans="1:43" ht="14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3"/>
      <c r="AO516" s="3"/>
      <c r="AP516" s="3"/>
      <c r="AQ516" s="3"/>
    </row>
    <row r="517" spans="1:43" ht="14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3"/>
      <c r="AO517" s="3"/>
      <c r="AP517" s="3"/>
      <c r="AQ517" s="3"/>
    </row>
    <row r="518" spans="1:43" ht="14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3"/>
      <c r="AO518" s="3"/>
      <c r="AP518" s="3"/>
      <c r="AQ518" s="3"/>
    </row>
    <row r="519" spans="1:43" ht="14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3"/>
      <c r="AO519" s="3"/>
      <c r="AP519" s="3"/>
      <c r="AQ519" s="3"/>
    </row>
    <row r="520" spans="1:43" ht="14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3"/>
      <c r="AO520" s="3"/>
      <c r="AP520" s="3"/>
      <c r="AQ520" s="3"/>
    </row>
    <row r="521" spans="1:43" ht="14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3"/>
      <c r="AO521" s="3"/>
      <c r="AP521" s="3"/>
      <c r="AQ521" s="3"/>
    </row>
    <row r="522" spans="1:43" ht="14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3"/>
      <c r="AO522" s="3"/>
      <c r="AP522" s="3"/>
      <c r="AQ522" s="3"/>
    </row>
    <row r="523" spans="1:43" ht="14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3"/>
      <c r="AO523" s="3"/>
      <c r="AP523" s="3"/>
      <c r="AQ523" s="3"/>
    </row>
    <row r="524" spans="1:43" ht="14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3"/>
      <c r="AO524" s="3"/>
      <c r="AP524" s="3"/>
      <c r="AQ524" s="3"/>
    </row>
    <row r="525" spans="1:43" ht="14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3"/>
      <c r="AO525" s="3"/>
      <c r="AP525" s="3"/>
      <c r="AQ525" s="3"/>
    </row>
    <row r="526" spans="1:43" ht="14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3"/>
      <c r="AO526" s="3"/>
      <c r="AP526" s="3"/>
      <c r="AQ526" s="3"/>
    </row>
    <row r="527" spans="1:43" ht="14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3"/>
      <c r="AO527" s="3"/>
      <c r="AP527" s="3"/>
      <c r="AQ527" s="3"/>
    </row>
    <row r="528" spans="1:43" ht="14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3"/>
      <c r="AO528" s="3"/>
      <c r="AP528" s="3"/>
      <c r="AQ528" s="3"/>
    </row>
    <row r="529" spans="1:43" ht="14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3"/>
      <c r="AO529" s="3"/>
      <c r="AP529" s="3"/>
      <c r="AQ529" s="3"/>
    </row>
    <row r="530" spans="1:43" ht="14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3"/>
      <c r="AO530" s="3"/>
      <c r="AP530" s="3"/>
      <c r="AQ530" s="3"/>
    </row>
    <row r="531" spans="1:43" ht="14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3"/>
      <c r="AO531" s="3"/>
      <c r="AP531" s="3"/>
      <c r="AQ531" s="3"/>
    </row>
    <row r="532" spans="1:43" ht="14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3"/>
      <c r="AO532" s="3"/>
      <c r="AP532" s="3"/>
      <c r="AQ532" s="3"/>
    </row>
    <row r="533" spans="1:43" ht="14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3"/>
      <c r="AO533" s="3"/>
      <c r="AP533" s="3"/>
      <c r="AQ533" s="3"/>
    </row>
    <row r="534" spans="1:43" ht="14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3"/>
      <c r="AO534" s="3"/>
      <c r="AP534" s="3"/>
      <c r="AQ534" s="3"/>
    </row>
    <row r="535" spans="1:43" ht="14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3"/>
      <c r="AO535" s="3"/>
      <c r="AP535" s="3"/>
      <c r="AQ535" s="3"/>
    </row>
    <row r="536" spans="1:43" ht="14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3"/>
      <c r="AO536" s="3"/>
      <c r="AP536" s="3"/>
      <c r="AQ536" s="3"/>
    </row>
    <row r="537" spans="1:43" ht="14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3"/>
      <c r="AO537" s="3"/>
      <c r="AP537" s="3"/>
      <c r="AQ537" s="3"/>
    </row>
    <row r="538" spans="1:43" ht="14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3"/>
      <c r="AO538" s="3"/>
      <c r="AP538" s="3"/>
      <c r="AQ538" s="3"/>
    </row>
    <row r="539" spans="1:43" ht="14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3"/>
      <c r="AO539" s="3"/>
      <c r="AP539" s="3"/>
      <c r="AQ539" s="3"/>
    </row>
    <row r="540" spans="1:43" ht="14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3"/>
      <c r="AO540" s="3"/>
      <c r="AP540" s="3"/>
      <c r="AQ540" s="3"/>
    </row>
    <row r="541" spans="1:43" ht="14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3"/>
      <c r="AO541" s="3"/>
      <c r="AP541" s="3"/>
      <c r="AQ541" s="3"/>
    </row>
    <row r="542" spans="1:43" ht="14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3"/>
      <c r="AO542" s="3"/>
      <c r="AP542" s="3"/>
      <c r="AQ542" s="3"/>
    </row>
    <row r="543" spans="1:43" ht="14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3"/>
      <c r="AO543" s="3"/>
      <c r="AP543" s="3"/>
      <c r="AQ543" s="3"/>
    </row>
    <row r="544" spans="1:43" ht="14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3"/>
      <c r="AO544" s="3"/>
      <c r="AP544" s="3"/>
      <c r="AQ544" s="3"/>
    </row>
    <row r="545" spans="1:43" ht="14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3"/>
      <c r="AO545" s="3"/>
      <c r="AP545" s="3"/>
      <c r="AQ545" s="3"/>
    </row>
    <row r="546" spans="1:43" ht="14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3"/>
      <c r="AO546" s="3"/>
      <c r="AP546" s="3"/>
      <c r="AQ546" s="3"/>
    </row>
    <row r="547" spans="1:43" ht="14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3"/>
      <c r="AO547" s="3"/>
      <c r="AP547" s="3"/>
      <c r="AQ547" s="3"/>
    </row>
    <row r="548" spans="1:43" ht="14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3"/>
      <c r="AO548" s="3"/>
      <c r="AP548" s="3"/>
      <c r="AQ548" s="3"/>
    </row>
    <row r="549" spans="1:43" ht="14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3"/>
      <c r="AO549" s="3"/>
      <c r="AP549" s="3"/>
      <c r="AQ549" s="3"/>
    </row>
    <row r="550" spans="1:43" ht="14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3"/>
      <c r="AO550" s="3"/>
      <c r="AP550" s="3"/>
      <c r="AQ550" s="3"/>
    </row>
    <row r="551" spans="1:43" ht="14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3"/>
      <c r="AO551" s="3"/>
      <c r="AP551" s="3"/>
      <c r="AQ551" s="3"/>
    </row>
    <row r="552" spans="1:43" ht="14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3"/>
      <c r="AO552" s="3"/>
      <c r="AP552" s="3"/>
      <c r="AQ552" s="3"/>
    </row>
    <row r="553" spans="1:43" ht="14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3"/>
      <c r="AO553" s="3"/>
      <c r="AP553" s="3"/>
      <c r="AQ553" s="3"/>
    </row>
    <row r="554" spans="1:43" ht="14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3"/>
      <c r="AO554" s="3"/>
      <c r="AP554" s="3"/>
      <c r="AQ554" s="3"/>
    </row>
    <row r="555" spans="1:43" ht="14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3"/>
      <c r="AO555" s="3"/>
      <c r="AP555" s="3"/>
      <c r="AQ555" s="3"/>
    </row>
    <row r="556" spans="1:43" ht="14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3"/>
      <c r="AO556" s="3"/>
      <c r="AP556" s="3"/>
      <c r="AQ556" s="3"/>
    </row>
    <row r="557" spans="1:43" ht="14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3"/>
      <c r="AO557" s="3"/>
      <c r="AP557" s="3"/>
      <c r="AQ557" s="3"/>
    </row>
    <row r="558" spans="1:43" ht="14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3"/>
      <c r="AO558" s="3"/>
      <c r="AP558" s="3"/>
      <c r="AQ558" s="3"/>
    </row>
    <row r="559" spans="1:43" ht="14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3"/>
      <c r="AO559" s="3"/>
      <c r="AP559" s="3"/>
      <c r="AQ559" s="3"/>
    </row>
    <row r="560" spans="1:43" ht="14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3"/>
      <c r="AO560" s="3"/>
      <c r="AP560" s="3"/>
      <c r="AQ560" s="3"/>
    </row>
    <row r="561" spans="1:43" ht="14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3"/>
      <c r="AO561" s="3"/>
      <c r="AP561" s="3"/>
      <c r="AQ561" s="3"/>
    </row>
    <row r="562" spans="1:43" ht="14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3"/>
      <c r="AO562" s="3"/>
      <c r="AP562" s="3"/>
      <c r="AQ562" s="3"/>
    </row>
    <row r="563" spans="1:43" ht="14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3"/>
      <c r="AO563" s="3"/>
      <c r="AP563" s="3"/>
      <c r="AQ563" s="3"/>
    </row>
    <row r="564" spans="1:43" ht="14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3"/>
      <c r="AO564" s="3"/>
      <c r="AP564" s="3"/>
      <c r="AQ564" s="3"/>
    </row>
    <row r="565" spans="1:43" ht="14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3"/>
      <c r="AO565" s="3"/>
      <c r="AP565" s="3"/>
      <c r="AQ565" s="3"/>
    </row>
    <row r="566" spans="1:43" ht="14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3"/>
      <c r="AO566" s="3"/>
      <c r="AP566" s="3"/>
      <c r="AQ566" s="3"/>
    </row>
    <row r="567" spans="1:43" ht="14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3"/>
      <c r="AO567" s="3"/>
      <c r="AP567" s="3"/>
      <c r="AQ567" s="3"/>
    </row>
    <row r="568" spans="1:43" ht="14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3"/>
      <c r="AO568" s="3"/>
      <c r="AP568" s="3"/>
      <c r="AQ568" s="3"/>
    </row>
    <row r="569" spans="1:43" ht="14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3"/>
      <c r="AO569" s="3"/>
      <c r="AP569" s="3"/>
      <c r="AQ569" s="3"/>
    </row>
    <row r="570" spans="1:43" ht="14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3"/>
      <c r="AO570" s="3"/>
      <c r="AP570" s="3"/>
      <c r="AQ570" s="3"/>
    </row>
    <row r="571" spans="1:43" ht="14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3"/>
      <c r="AO571" s="3"/>
      <c r="AP571" s="3"/>
      <c r="AQ571" s="3"/>
    </row>
    <row r="572" spans="1:43" ht="14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3"/>
      <c r="AO572" s="3"/>
      <c r="AP572" s="3"/>
      <c r="AQ572" s="3"/>
    </row>
    <row r="573" spans="1:43" ht="14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3"/>
      <c r="AO573" s="3"/>
      <c r="AP573" s="3"/>
      <c r="AQ573" s="3"/>
    </row>
    <row r="574" spans="1:43" ht="14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3"/>
      <c r="AO574" s="3"/>
      <c r="AP574" s="3"/>
      <c r="AQ574" s="3"/>
    </row>
    <row r="575" spans="1:43" ht="14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3"/>
      <c r="AO575" s="3"/>
      <c r="AP575" s="3"/>
      <c r="AQ575" s="3"/>
    </row>
    <row r="576" spans="1:43" ht="14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3"/>
      <c r="AO576" s="3"/>
      <c r="AP576" s="3"/>
      <c r="AQ576" s="3"/>
    </row>
    <row r="577" spans="1:43" ht="14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3"/>
      <c r="AO577" s="3"/>
      <c r="AP577" s="3"/>
      <c r="AQ577" s="3"/>
    </row>
    <row r="578" spans="1:43" ht="14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3"/>
      <c r="AO578" s="3"/>
      <c r="AP578" s="3"/>
      <c r="AQ578" s="3"/>
    </row>
    <row r="579" spans="1:43" ht="14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3"/>
      <c r="AO579" s="3"/>
      <c r="AP579" s="3"/>
      <c r="AQ579" s="3"/>
    </row>
    <row r="580" spans="1:43" ht="14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3"/>
      <c r="AO580" s="3"/>
      <c r="AP580" s="3"/>
      <c r="AQ580" s="3"/>
    </row>
    <row r="581" spans="1:43" ht="14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3"/>
      <c r="AO581" s="3"/>
      <c r="AP581" s="3"/>
      <c r="AQ581" s="3"/>
    </row>
    <row r="582" spans="1:43" ht="14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3"/>
      <c r="AO582" s="3"/>
      <c r="AP582" s="3"/>
      <c r="AQ582" s="3"/>
    </row>
    <row r="583" spans="1:43" ht="14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3"/>
      <c r="AO583" s="3"/>
      <c r="AP583" s="3"/>
      <c r="AQ583" s="3"/>
    </row>
    <row r="584" spans="1:43" ht="14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3"/>
      <c r="AO584" s="3"/>
      <c r="AP584" s="3"/>
      <c r="AQ584" s="3"/>
    </row>
    <row r="585" spans="1:43" ht="14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3"/>
      <c r="AO585" s="3"/>
      <c r="AP585" s="3"/>
      <c r="AQ585" s="3"/>
    </row>
    <row r="586" spans="1:43" ht="14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3"/>
      <c r="AO586" s="3"/>
      <c r="AP586" s="3"/>
      <c r="AQ586" s="3"/>
    </row>
    <row r="587" spans="1:43" ht="14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3"/>
      <c r="AO587" s="3"/>
      <c r="AP587" s="3"/>
      <c r="AQ587" s="3"/>
    </row>
    <row r="588" spans="1:43" ht="14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3"/>
      <c r="AO588" s="3"/>
      <c r="AP588" s="3"/>
      <c r="AQ588" s="3"/>
    </row>
    <row r="589" spans="1:43" ht="14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3"/>
      <c r="AO589" s="3"/>
      <c r="AP589" s="3"/>
      <c r="AQ589" s="3"/>
    </row>
    <row r="590" spans="1:43" ht="14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3"/>
      <c r="AO590" s="3"/>
      <c r="AP590" s="3"/>
      <c r="AQ590" s="3"/>
    </row>
    <row r="591" spans="1:43" ht="14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3"/>
      <c r="AO591" s="3"/>
      <c r="AP591" s="3"/>
      <c r="AQ591" s="3"/>
    </row>
    <row r="592" spans="1:43" ht="14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3"/>
      <c r="AO592" s="3"/>
      <c r="AP592" s="3"/>
      <c r="AQ592" s="3"/>
    </row>
    <row r="593" spans="1:43" ht="14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3"/>
      <c r="AO593" s="3"/>
      <c r="AP593" s="3"/>
      <c r="AQ593" s="3"/>
    </row>
    <row r="594" spans="1:43" ht="14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3"/>
      <c r="AO594" s="3"/>
      <c r="AP594" s="3"/>
      <c r="AQ594" s="3"/>
    </row>
    <row r="595" spans="1:43" ht="14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3"/>
      <c r="AO595" s="3"/>
      <c r="AP595" s="3"/>
      <c r="AQ595" s="3"/>
    </row>
    <row r="596" spans="1:43" ht="14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3"/>
      <c r="AO596" s="3"/>
      <c r="AP596" s="3"/>
      <c r="AQ596" s="3"/>
    </row>
    <row r="597" spans="1:43" ht="14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3"/>
      <c r="AO597" s="3"/>
      <c r="AP597" s="3"/>
      <c r="AQ597" s="3"/>
    </row>
    <row r="598" spans="1:43" ht="14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3"/>
      <c r="AO598" s="3"/>
      <c r="AP598" s="3"/>
      <c r="AQ598" s="3"/>
    </row>
    <row r="599" spans="1:43" ht="14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3"/>
      <c r="AO599" s="3"/>
      <c r="AP599" s="3"/>
      <c r="AQ599" s="3"/>
    </row>
    <row r="600" spans="1:43" ht="14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3"/>
      <c r="AO600" s="3"/>
      <c r="AP600" s="3"/>
      <c r="AQ600" s="3"/>
    </row>
    <row r="601" spans="1:43" ht="14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3"/>
      <c r="AO601" s="3"/>
      <c r="AP601" s="3"/>
      <c r="AQ601" s="3"/>
    </row>
    <row r="602" spans="1:43" ht="14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3"/>
      <c r="AO602" s="3"/>
      <c r="AP602" s="3"/>
      <c r="AQ602" s="3"/>
    </row>
    <row r="603" spans="1:43" ht="14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3"/>
      <c r="AO603" s="3"/>
      <c r="AP603" s="3"/>
      <c r="AQ603" s="3"/>
    </row>
    <row r="604" spans="1:43" ht="14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3"/>
      <c r="AO604" s="3"/>
      <c r="AP604" s="3"/>
      <c r="AQ604" s="3"/>
    </row>
    <row r="605" spans="1:43" ht="14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3"/>
      <c r="AO605" s="3"/>
      <c r="AP605" s="3"/>
      <c r="AQ605" s="3"/>
    </row>
    <row r="606" spans="1:43" ht="14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3"/>
      <c r="AO606" s="3"/>
      <c r="AP606" s="3"/>
      <c r="AQ606" s="3"/>
    </row>
    <row r="607" spans="1:43" ht="14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3"/>
      <c r="AO607" s="3"/>
      <c r="AP607" s="3"/>
      <c r="AQ607" s="3"/>
    </row>
    <row r="608" spans="1:43" ht="14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3"/>
      <c r="AO608" s="3"/>
      <c r="AP608" s="3"/>
      <c r="AQ608" s="3"/>
    </row>
    <row r="609" spans="1:43" ht="14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3"/>
      <c r="AO609" s="3"/>
      <c r="AP609" s="3"/>
      <c r="AQ609" s="3"/>
    </row>
    <row r="610" spans="1:43" ht="14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3"/>
      <c r="AO610" s="3"/>
      <c r="AP610" s="3"/>
      <c r="AQ610" s="3"/>
    </row>
    <row r="611" spans="1:43" ht="14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3"/>
      <c r="AO611" s="3"/>
      <c r="AP611" s="3"/>
      <c r="AQ611" s="3"/>
    </row>
    <row r="612" spans="1:43" ht="14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3"/>
      <c r="AO612" s="3"/>
      <c r="AP612" s="3"/>
      <c r="AQ612" s="3"/>
    </row>
    <row r="613" spans="1:43" ht="14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3"/>
      <c r="AO613" s="3"/>
      <c r="AP613" s="3"/>
      <c r="AQ613" s="3"/>
    </row>
    <row r="614" spans="1:43" ht="14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3"/>
      <c r="AO614" s="3"/>
      <c r="AP614" s="3"/>
      <c r="AQ614" s="3"/>
    </row>
    <row r="615" spans="1:43" ht="14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3"/>
      <c r="AO615" s="3"/>
      <c r="AP615" s="3"/>
      <c r="AQ615" s="3"/>
    </row>
    <row r="616" spans="1:43" ht="14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3"/>
      <c r="AO616" s="3"/>
      <c r="AP616" s="3"/>
      <c r="AQ616" s="3"/>
    </row>
    <row r="617" spans="1:43" ht="14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3"/>
      <c r="AO617" s="3"/>
      <c r="AP617" s="3"/>
      <c r="AQ617" s="3"/>
    </row>
    <row r="618" spans="1:43" ht="14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3"/>
      <c r="AO618" s="3"/>
      <c r="AP618" s="3"/>
      <c r="AQ618" s="3"/>
    </row>
    <row r="619" spans="1:43" ht="14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3"/>
      <c r="AO619" s="3"/>
      <c r="AP619" s="3"/>
      <c r="AQ619" s="3"/>
    </row>
    <row r="620" spans="1:43" ht="14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3"/>
      <c r="AO620" s="3"/>
      <c r="AP620" s="3"/>
      <c r="AQ620" s="3"/>
    </row>
    <row r="621" spans="1:43" ht="14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3"/>
      <c r="AO621" s="3"/>
      <c r="AP621" s="3"/>
      <c r="AQ621" s="3"/>
    </row>
    <row r="622" spans="1:43" ht="14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3"/>
      <c r="AO622" s="3"/>
      <c r="AP622" s="3"/>
      <c r="AQ622" s="3"/>
    </row>
    <row r="623" spans="1:43" ht="14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3"/>
      <c r="AO623" s="3"/>
      <c r="AP623" s="3"/>
      <c r="AQ623" s="3"/>
    </row>
    <row r="624" spans="1:43" ht="14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3"/>
      <c r="AO624" s="3"/>
      <c r="AP624" s="3"/>
      <c r="AQ624" s="3"/>
    </row>
    <row r="625" spans="1:43" ht="14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3"/>
      <c r="AO625" s="3"/>
      <c r="AP625" s="3"/>
      <c r="AQ625" s="3"/>
    </row>
    <row r="626" spans="1:43" ht="14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3"/>
      <c r="AO626" s="3"/>
      <c r="AP626" s="3"/>
      <c r="AQ626" s="3"/>
    </row>
    <row r="627" spans="1:43" ht="14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3"/>
      <c r="AO627" s="3"/>
      <c r="AP627" s="3"/>
      <c r="AQ627" s="3"/>
    </row>
    <row r="628" spans="1:43" ht="14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3"/>
      <c r="AO628" s="3"/>
      <c r="AP628" s="3"/>
      <c r="AQ628" s="3"/>
    </row>
    <row r="629" spans="1:43" ht="14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3"/>
      <c r="AO629" s="3"/>
      <c r="AP629" s="3"/>
      <c r="AQ629" s="3"/>
    </row>
    <row r="630" spans="1:43" ht="14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3"/>
      <c r="AO630" s="3"/>
      <c r="AP630" s="3"/>
      <c r="AQ630" s="3"/>
    </row>
    <row r="631" spans="1:43" ht="14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3"/>
      <c r="AO631" s="3"/>
      <c r="AP631" s="3"/>
      <c r="AQ631" s="3"/>
    </row>
    <row r="632" spans="1:43" ht="14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3"/>
      <c r="AO632" s="3"/>
      <c r="AP632" s="3"/>
      <c r="AQ632" s="3"/>
    </row>
    <row r="633" spans="1:43" ht="14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3"/>
      <c r="AO633" s="3"/>
      <c r="AP633" s="3"/>
      <c r="AQ633" s="3"/>
    </row>
    <row r="634" spans="1:43" ht="14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3"/>
      <c r="AO634" s="3"/>
      <c r="AP634" s="3"/>
      <c r="AQ634" s="3"/>
    </row>
    <row r="635" spans="1:43" ht="14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3"/>
      <c r="AO635" s="3"/>
      <c r="AP635" s="3"/>
      <c r="AQ635" s="3"/>
    </row>
    <row r="636" spans="1:43" ht="14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3"/>
      <c r="AO636" s="3"/>
      <c r="AP636" s="3"/>
      <c r="AQ636" s="3"/>
    </row>
    <row r="637" spans="1:43" ht="14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3"/>
      <c r="AO637" s="3"/>
      <c r="AP637" s="3"/>
      <c r="AQ637" s="3"/>
    </row>
    <row r="638" spans="1:43" ht="14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3"/>
      <c r="AO638" s="3"/>
      <c r="AP638" s="3"/>
      <c r="AQ638" s="3"/>
    </row>
    <row r="639" spans="1:43" ht="14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3"/>
      <c r="AO639" s="3"/>
      <c r="AP639" s="3"/>
      <c r="AQ639" s="3"/>
    </row>
    <row r="640" spans="1:43" ht="14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3"/>
      <c r="AO640" s="3"/>
      <c r="AP640" s="3"/>
      <c r="AQ640" s="3"/>
    </row>
    <row r="641" spans="1:43" ht="14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3"/>
      <c r="AO641" s="3"/>
      <c r="AP641" s="3"/>
      <c r="AQ641" s="3"/>
    </row>
    <row r="642" spans="1:43" ht="14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3"/>
      <c r="AO642" s="3"/>
      <c r="AP642" s="3"/>
      <c r="AQ642" s="3"/>
    </row>
    <row r="643" spans="1:43" ht="14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3"/>
      <c r="AO643" s="3"/>
      <c r="AP643" s="3"/>
      <c r="AQ643" s="3"/>
    </row>
    <row r="644" spans="1:43" ht="14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3"/>
      <c r="AO644" s="3"/>
      <c r="AP644" s="3"/>
      <c r="AQ644" s="3"/>
    </row>
    <row r="645" spans="1:43" ht="14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3"/>
      <c r="AO645" s="3"/>
      <c r="AP645" s="3"/>
      <c r="AQ645" s="3"/>
    </row>
    <row r="646" spans="1:43" ht="14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3"/>
      <c r="AO646" s="3"/>
      <c r="AP646" s="3"/>
      <c r="AQ646" s="3"/>
    </row>
    <row r="647" spans="1:43" ht="14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3"/>
      <c r="AO647" s="3"/>
      <c r="AP647" s="3"/>
      <c r="AQ647" s="3"/>
    </row>
    <row r="648" spans="1:43" ht="14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3"/>
      <c r="AO648" s="3"/>
      <c r="AP648" s="3"/>
      <c r="AQ648" s="3"/>
    </row>
    <row r="649" spans="1:43" ht="14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3"/>
      <c r="AO649" s="3"/>
      <c r="AP649" s="3"/>
      <c r="AQ649" s="3"/>
    </row>
    <row r="650" spans="1:43" ht="14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3"/>
      <c r="AO650" s="3"/>
      <c r="AP650" s="3"/>
      <c r="AQ650" s="3"/>
    </row>
    <row r="651" spans="1:43" ht="14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3"/>
      <c r="AO651" s="3"/>
      <c r="AP651" s="3"/>
      <c r="AQ651" s="3"/>
    </row>
    <row r="652" spans="1:43" ht="14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3"/>
      <c r="AO652" s="3"/>
      <c r="AP652" s="3"/>
      <c r="AQ652" s="3"/>
    </row>
    <row r="653" spans="1:43" ht="14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3"/>
      <c r="AO653" s="3"/>
      <c r="AP653" s="3"/>
      <c r="AQ653" s="3"/>
    </row>
    <row r="654" spans="1:43" ht="14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3"/>
      <c r="AO654" s="3"/>
      <c r="AP654" s="3"/>
      <c r="AQ654" s="3"/>
    </row>
    <row r="655" spans="1:43" ht="14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3"/>
      <c r="AO655" s="3"/>
      <c r="AP655" s="3"/>
      <c r="AQ655" s="3"/>
    </row>
    <row r="656" spans="1:43" ht="14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3"/>
      <c r="AO656" s="3"/>
      <c r="AP656" s="3"/>
      <c r="AQ656" s="3"/>
    </row>
    <row r="657" spans="1:43" ht="14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3"/>
      <c r="AO657" s="3"/>
      <c r="AP657" s="3"/>
      <c r="AQ657" s="3"/>
    </row>
    <row r="658" spans="1:43" ht="14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3"/>
      <c r="AO658" s="3"/>
      <c r="AP658" s="3"/>
      <c r="AQ658" s="3"/>
    </row>
    <row r="659" spans="1:43" ht="14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3"/>
      <c r="AO659" s="3"/>
      <c r="AP659" s="3"/>
      <c r="AQ659" s="3"/>
    </row>
    <row r="660" spans="1:43" ht="14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3"/>
      <c r="AO660" s="3"/>
      <c r="AP660" s="3"/>
      <c r="AQ660" s="3"/>
    </row>
    <row r="661" spans="1:43" ht="14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3"/>
      <c r="AO661" s="3"/>
      <c r="AP661" s="3"/>
      <c r="AQ661" s="3"/>
    </row>
    <row r="662" spans="1:43" ht="14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3"/>
      <c r="AO662" s="3"/>
      <c r="AP662" s="3"/>
      <c r="AQ662" s="3"/>
    </row>
    <row r="663" spans="1:43" ht="14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3"/>
      <c r="AO663" s="3"/>
      <c r="AP663" s="3"/>
      <c r="AQ663" s="3"/>
    </row>
    <row r="664" spans="1:43" ht="14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3"/>
      <c r="AO664" s="3"/>
      <c r="AP664" s="3"/>
      <c r="AQ664" s="3"/>
    </row>
    <row r="665" spans="1:43" ht="14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3"/>
      <c r="AO665" s="3"/>
      <c r="AP665" s="3"/>
      <c r="AQ665" s="3"/>
    </row>
    <row r="666" spans="1:43" ht="14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3"/>
      <c r="AO666" s="3"/>
      <c r="AP666" s="3"/>
      <c r="AQ666" s="3"/>
    </row>
    <row r="667" spans="1:43" ht="14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3"/>
      <c r="AO667" s="3"/>
      <c r="AP667" s="3"/>
      <c r="AQ667" s="3"/>
    </row>
    <row r="668" spans="1:43" ht="14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3"/>
      <c r="AO668" s="3"/>
      <c r="AP668" s="3"/>
      <c r="AQ668" s="3"/>
    </row>
    <row r="669" spans="1:43" ht="14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3"/>
      <c r="AO669" s="3"/>
      <c r="AP669" s="3"/>
      <c r="AQ669" s="3"/>
    </row>
    <row r="670" spans="1:43" ht="14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3"/>
      <c r="AO670" s="3"/>
      <c r="AP670" s="3"/>
      <c r="AQ670" s="3"/>
    </row>
    <row r="671" spans="1:43" ht="14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3"/>
      <c r="AO671" s="3"/>
      <c r="AP671" s="3"/>
      <c r="AQ671" s="3"/>
    </row>
    <row r="672" spans="1:43" ht="14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3"/>
      <c r="AO672" s="3"/>
      <c r="AP672" s="3"/>
      <c r="AQ672" s="3"/>
    </row>
    <row r="673" spans="1:43" ht="14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3"/>
      <c r="AO673" s="3"/>
      <c r="AP673" s="3"/>
      <c r="AQ673" s="3"/>
    </row>
    <row r="674" spans="1:43" ht="14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3"/>
      <c r="AO674" s="3"/>
      <c r="AP674" s="3"/>
      <c r="AQ674" s="3"/>
    </row>
    <row r="675" spans="1:43" ht="14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3"/>
      <c r="AO675" s="3"/>
      <c r="AP675" s="3"/>
      <c r="AQ675" s="3"/>
    </row>
    <row r="676" spans="1:43" ht="14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3"/>
      <c r="AO676" s="3"/>
      <c r="AP676" s="3"/>
      <c r="AQ676" s="3"/>
    </row>
    <row r="677" spans="1:43" ht="14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3"/>
      <c r="AO677" s="3"/>
      <c r="AP677" s="3"/>
      <c r="AQ677" s="3"/>
    </row>
    <row r="678" spans="1:43" ht="14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3"/>
      <c r="AO678" s="3"/>
      <c r="AP678" s="3"/>
      <c r="AQ678" s="3"/>
    </row>
    <row r="679" spans="1:43" ht="14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3"/>
      <c r="AO679" s="3"/>
      <c r="AP679" s="3"/>
      <c r="AQ679" s="3"/>
    </row>
    <row r="680" spans="1:43" ht="14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3"/>
      <c r="AO680" s="3"/>
      <c r="AP680" s="3"/>
      <c r="AQ680" s="3"/>
    </row>
    <row r="681" spans="1:43" ht="14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3"/>
      <c r="AO681" s="3"/>
      <c r="AP681" s="3"/>
      <c r="AQ681" s="3"/>
    </row>
    <row r="682" spans="1:43" ht="14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3"/>
      <c r="AO682" s="3"/>
      <c r="AP682" s="3"/>
      <c r="AQ682" s="3"/>
    </row>
    <row r="683" spans="1:43" ht="14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3"/>
      <c r="AO683" s="3"/>
      <c r="AP683" s="3"/>
      <c r="AQ683" s="3"/>
    </row>
    <row r="684" spans="1:43" ht="14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3"/>
      <c r="AO684" s="3"/>
      <c r="AP684" s="3"/>
      <c r="AQ684" s="3"/>
    </row>
    <row r="685" spans="1:43" ht="14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3"/>
      <c r="AO685" s="3"/>
      <c r="AP685" s="3"/>
      <c r="AQ685" s="3"/>
    </row>
    <row r="686" spans="1:43" ht="14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3"/>
      <c r="AO686" s="3"/>
      <c r="AP686" s="3"/>
      <c r="AQ686" s="3"/>
    </row>
    <row r="687" spans="1:43" ht="14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3"/>
      <c r="AO687" s="3"/>
      <c r="AP687" s="3"/>
      <c r="AQ687" s="3"/>
    </row>
    <row r="688" spans="1:43" ht="14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3"/>
      <c r="AO688" s="3"/>
      <c r="AP688" s="3"/>
      <c r="AQ688" s="3"/>
    </row>
    <row r="689" spans="1:43" ht="14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3"/>
      <c r="AO689" s="3"/>
      <c r="AP689" s="3"/>
      <c r="AQ689" s="3"/>
    </row>
    <row r="690" spans="1:43" ht="14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3"/>
      <c r="AO690" s="3"/>
      <c r="AP690" s="3"/>
      <c r="AQ690" s="3"/>
    </row>
    <row r="691" spans="1:43" ht="14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3"/>
      <c r="AO691" s="3"/>
      <c r="AP691" s="3"/>
      <c r="AQ691" s="3"/>
    </row>
    <row r="692" spans="1:43" ht="14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3"/>
      <c r="AO692" s="3"/>
      <c r="AP692" s="3"/>
      <c r="AQ692" s="3"/>
    </row>
    <row r="693" spans="1:43" ht="14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3"/>
      <c r="AO693" s="3"/>
      <c r="AP693" s="3"/>
      <c r="AQ693" s="3"/>
    </row>
    <row r="694" spans="1:43" ht="14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3"/>
      <c r="AO694" s="3"/>
      <c r="AP694" s="3"/>
      <c r="AQ694" s="3"/>
    </row>
    <row r="695" spans="1:43" ht="14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3"/>
      <c r="AO695" s="3"/>
      <c r="AP695" s="3"/>
      <c r="AQ695" s="3"/>
    </row>
    <row r="696" spans="1:43" ht="14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3"/>
      <c r="AO696" s="3"/>
      <c r="AP696" s="3"/>
      <c r="AQ696" s="3"/>
    </row>
    <row r="697" spans="1:43" ht="14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3"/>
      <c r="AO697" s="3"/>
      <c r="AP697" s="3"/>
      <c r="AQ697" s="3"/>
    </row>
    <row r="698" spans="1:43" ht="14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3"/>
      <c r="AO698" s="3"/>
      <c r="AP698" s="3"/>
      <c r="AQ698" s="3"/>
    </row>
    <row r="699" spans="1:43" ht="14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3"/>
      <c r="AO699" s="3"/>
      <c r="AP699" s="3"/>
      <c r="AQ699" s="3"/>
    </row>
    <row r="700" spans="1:43" ht="14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3"/>
      <c r="AO700" s="3"/>
      <c r="AP700" s="3"/>
      <c r="AQ700" s="3"/>
    </row>
    <row r="701" spans="1:43" ht="14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3"/>
      <c r="AO701" s="3"/>
      <c r="AP701" s="3"/>
      <c r="AQ701" s="3"/>
    </row>
    <row r="702" spans="1:43" ht="14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3"/>
      <c r="AO702" s="3"/>
      <c r="AP702" s="3"/>
      <c r="AQ702" s="3"/>
    </row>
    <row r="703" spans="1:43" ht="14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3"/>
      <c r="AO703" s="3"/>
      <c r="AP703" s="3"/>
      <c r="AQ703" s="3"/>
    </row>
    <row r="704" spans="1:43" ht="14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3"/>
      <c r="AO704" s="3"/>
      <c r="AP704" s="3"/>
      <c r="AQ704" s="3"/>
    </row>
    <row r="705" spans="1:43" ht="14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3"/>
      <c r="AO705" s="3"/>
      <c r="AP705" s="3"/>
      <c r="AQ705" s="3"/>
    </row>
    <row r="706" spans="1:43" ht="14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3"/>
      <c r="AO706" s="3"/>
      <c r="AP706" s="3"/>
      <c r="AQ706" s="3"/>
    </row>
    <row r="707" spans="1:43" ht="14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3"/>
      <c r="AO707" s="3"/>
      <c r="AP707" s="3"/>
      <c r="AQ707" s="3"/>
    </row>
    <row r="708" spans="1:43" ht="14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3"/>
      <c r="AO708" s="3"/>
      <c r="AP708" s="3"/>
      <c r="AQ708" s="3"/>
    </row>
    <row r="709" spans="1:43" ht="14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3"/>
      <c r="AO709" s="3"/>
      <c r="AP709" s="3"/>
      <c r="AQ709" s="3"/>
    </row>
    <row r="710" spans="1:43" ht="14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3"/>
      <c r="AO710" s="3"/>
      <c r="AP710" s="3"/>
      <c r="AQ710" s="3"/>
    </row>
    <row r="711" spans="1:43" ht="14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3"/>
      <c r="AO711" s="3"/>
      <c r="AP711" s="3"/>
      <c r="AQ711" s="3"/>
    </row>
    <row r="712" spans="1:43" ht="14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3"/>
      <c r="AO712" s="3"/>
      <c r="AP712" s="3"/>
      <c r="AQ712" s="3"/>
    </row>
    <row r="713" spans="1:43" ht="14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3"/>
      <c r="AO713" s="3"/>
      <c r="AP713" s="3"/>
      <c r="AQ713" s="3"/>
    </row>
    <row r="714" spans="1:43" ht="14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3"/>
      <c r="AO714" s="3"/>
      <c r="AP714" s="3"/>
      <c r="AQ714" s="3"/>
    </row>
    <row r="715" spans="1:43" ht="14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3"/>
      <c r="AO715" s="3"/>
      <c r="AP715" s="3"/>
      <c r="AQ715" s="3"/>
    </row>
    <row r="716" spans="1:43" ht="14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3"/>
      <c r="AO716" s="3"/>
      <c r="AP716" s="3"/>
      <c r="AQ716" s="3"/>
    </row>
    <row r="717" spans="1:43" ht="14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3"/>
      <c r="AO717" s="3"/>
      <c r="AP717" s="3"/>
      <c r="AQ717" s="3"/>
    </row>
    <row r="718" spans="1:43" ht="14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3"/>
      <c r="AO718" s="3"/>
      <c r="AP718" s="3"/>
      <c r="AQ718" s="3"/>
    </row>
    <row r="719" spans="1:43" ht="14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3"/>
      <c r="AO719" s="3"/>
      <c r="AP719" s="3"/>
      <c r="AQ719" s="3"/>
    </row>
    <row r="720" spans="1:43" ht="14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3"/>
      <c r="AO720" s="3"/>
      <c r="AP720" s="3"/>
      <c r="AQ720" s="3"/>
    </row>
    <row r="721" spans="1:43" ht="14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3"/>
      <c r="AO721" s="3"/>
      <c r="AP721" s="3"/>
      <c r="AQ721" s="3"/>
    </row>
    <row r="722" spans="1:43" ht="14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3"/>
      <c r="AO722" s="3"/>
      <c r="AP722" s="3"/>
      <c r="AQ722" s="3"/>
    </row>
    <row r="723" spans="1:43" ht="14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3"/>
      <c r="AO723" s="3"/>
      <c r="AP723" s="3"/>
      <c r="AQ723" s="3"/>
    </row>
    <row r="724" spans="1:43" ht="14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3"/>
      <c r="AO724" s="3"/>
      <c r="AP724" s="3"/>
      <c r="AQ724" s="3"/>
    </row>
    <row r="725" spans="1:43" ht="14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3"/>
      <c r="AO725" s="3"/>
      <c r="AP725" s="3"/>
      <c r="AQ725" s="3"/>
    </row>
    <row r="726" spans="1:43" ht="14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3"/>
      <c r="AO726" s="3"/>
      <c r="AP726" s="3"/>
      <c r="AQ726" s="3"/>
    </row>
    <row r="727" spans="1:43" ht="14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3"/>
      <c r="AO727" s="3"/>
      <c r="AP727" s="3"/>
      <c r="AQ727" s="3"/>
    </row>
    <row r="728" spans="1:43" ht="14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3"/>
      <c r="AO728" s="3"/>
      <c r="AP728" s="3"/>
      <c r="AQ728" s="3"/>
    </row>
    <row r="729" spans="1:43" ht="14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3"/>
      <c r="AO729" s="3"/>
      <c r="AP729" s="3"/>
      <c r="AQ729" s="3"/>
    </row>
    <row r="730" spans="1:43" ht="14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3"/>
      <c r="AO730" s="3"/>
      <c r="AP730" s="3"/>
      <c r="AQ730" s="3"/>
    </row>
    <row r="731" spans="1:43" ht="14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3"/>
      <c r="AO731" s="3"/>
      <c r="AP731" s="3"/>
      <c r="AQ731" s="3"/>
    </row>
    <row r="732" spans="1:43" ht="14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3"/>
      <c r="AO732" s="3"/>
      <c r="AP732" s="3"/>
      <c r="AQ732" s="3"/>
    </row>
    <row r="733" spans="1:43" ht="14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3"/>
      <c r="AO733" s="3"/>
      <c r="AP733" s="3"/>
      <c r="AQ733" s="3"/>
    </row>
    <row r="734" spans="1:43" ht="14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3"/>
      <c r="AO734" s="3"/>
      <c r="AP734" s="3"/>
      <c r="AQ734" s="3"/>
    </row>
    <row r="735" spans="1:43" ht="14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3"/>
      <c r="AO735" s="3"/>
      <c r="AP735" s="3"/>
      <c r="AQ735" s="3"/>
    </row>
    <row r="736" spans="1:43" ht="14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3"/>
      <c r="AO736" s="3"/>
      <c r="AP736" s="3"/>
      <c r="AQ736" s="3"/>
    </row>
    <row r="737" spans="1:43" ht="14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3"/>
      <c r="AO737" s="3"/>
      <c r="AP737" s="3"/>
      <c r="AQ737" s="3"/>
    </row>
    <row r="738" spans="1:43" ht="14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3"/>
      <c r="AO738" s="3"/>
      <c r="AP738" s="3"/>
      <c r="AQ738" s="3"/>
    </row>
    <row r="739" spans="1:43" ht="14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3"/>
      <c r="AO739" s="3"/>
      <c r="AP739" s="3"/>
      <c r="AQ739" s="3"/>
    </row>
    <row r="740" spans="1:43" ht="14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3"/>
      <c r="AO740" s="3"/>
      <c r="AP740" s="3"/>
      <c r="AQ740" s="3"/>
    </row>
    <row r="741" spans="1:43" ht="14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3"/>
      <c r="AO741" s="3"/>
      <c r="AP741" s="3"/>
      <c r="AQ741" s="3"/>
    </row>
    <row r="742" spans="1:43" ht="14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3"/>
      <c r="AO742" s="3"/>
      <c r="AP742" s="3"/>
      <c r="AQ742" s="3"/>
    </row>
    <row r="743" spans="1:43" ht="14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3"/>
      <c r="AO743" s="3"/>
      <c r="AP743" s="3"/>
      <c r="AQ743" s="3"/>
    </row>
    <row r="744" spans="1:43" ht="14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3"/>
      <c r="AO744" s="3"/>
      <c r="AP744" s="3"/>
      <c r="AQ744" s="3"/>
    </row>
    <row r="745" spans="1:43" ht="14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3"/>
      <c r="AO745" s="3"/>
      <c r="AP745" s="3"/>
      <c r="AQ745" s="3"/>
    </row>
    <row r="746" spans="1:43" ht="14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3"/>
      <c r="AO746" s="3"/>
      <c r="AP746" s="3"/>
      <c r="AQ746" s="3"/>
    </row>
    <row r="747" spans="1:43" ht="14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3"/>
      <c r="AO747" s="3"/>
      <c r="AP747" s="3"/>
      <c r="AQ747" s="3"/>
    </row>
    <row r="748" spans="1:43" ht="14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3"/>
      <c r="AO748" s="3"/>
      <c r="AP748" s="3"/>
      <c r="AQ748" s="3"/>
    </row>
    <row r="749" spans="1:43" ht="14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3"/>
      <c r="AO749" s="3"/>
      <c r="AP749" s="3"/>
      <c r="AQ749" s="3"/>
    </row>
    <row r="750" spans="1:43" ht="14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3"/>
      <c r="AO750" s="3"/>
      <c r="AP750" s="3"/>
      <c r="AQ750" s="3"/>
    </row>
    <row r="751" spans="1:43" ht="14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3"/>
      <c r="AO751" s="3"/>
      <c r="AP751" s="3"/>
      <c r="AQ751" s="3"/>
    </row>
    <row r="752" spans="1:43" ht="14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3"/>
      <c r="AO752" s="3"/>
      <c r="AP752" s="3"/>
      <c r="AQ752" s="3"/>
    </row>
    <row r="753" spans="1:43" ht="14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3"/>
      <c r="AO753" s="3"/>
      <c r="AP753" s="3"/>
      <c r="AQ753" s="3"/>
    </row>
    <row r="754" spans="1:43" ht="14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3"/>
      <c r="AO754" s="3"/>
      <c r="AP754" s="3"/>
      <c r="AQ754" s="3"/>
    </row>
    <row r="755" spans="1:43" ht="14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3"/>
      <c r="AO755" s="3"/>
      <c r="AP755" s="3"/>
      <c r="AQ755" s="3"/>
    </row>
    <row r="756" spans="1:43" ht="14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3"/>
      <c r="AO756" s="3"/>
      <c r="AP756" s="3"/>
      <c r="AQ756" s="3"/>
    </row>
    <row r="757" spans="1:43" ht="14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3"/>
      <c r="AO757" s="3"/>
      <c r="AP757" s="3"/>
      <c r="AQ757" s="3"/>
    </row>
    <row r="758" spans="1:43" ht="14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3"/>
      <c r="AO758" s="3"/>
      <c r="AP758" s="3"/>
      <c r="AQ758" s="3"/>
    </row>
    <row r="759" spans="1:43" ht="14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3"/>
      <c r="AO759" s="3"/>
      <c r="AP759" s="3"/>
      <c r="AQ759" s="3"/>
    </row>
    <row r="760" spans="1:43" ht="14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3"/>
      <c r="AO760" s="3"/>
      <c r="AP760" s="3"/>
      <c r="AQ760" s="3"/>
    </row>
    <row r="761" spans="1:43" ht="14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3"/>
      <c r="AO761" s="3"/>
      <c r="AP761" s="3"/>
      <c r="AQ761" s="3"/>
    </row>
    <row r="762" spans="1:43" ht="14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3"/>
      <c r="AO762" s="3"/>
      <c r="AP762" s="3"/>
      <c r="AQ762" s="3"/>
    </row>
    <row r="763" spans="1:43" ht="14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3"/>
      <c r="AO763" s="3"/>
      <c r="AP763" s="3"/>
      <c r="AQ763" s="3"/>
    </row>
    <row r="764" spans="1:43" ht="14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3"/>
      <c r="AO764" s="3"/>
      <c r="AP764" s="3"/>
      <c r="AQ764" s="3"/>
    </row>
    <row r="765" spans="1:43" ht="14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3"/>
      <c r="AO765" s="3"/>
      <c r="AP765" s="3"/>
      <c r="AQ765" s="3"/>
    </row>
    <row r="766" spans="1:43" ht="14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3"/>
      <c r="AO766" s="3"/>
      <c r="AP766" s="3"/>
      <c r="AQ766" s="3"/>
    </row>
    <row r="767" spans="1:43" ht="14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3"/>
      <c r="AO767" s="3"/>
      <c r="AP767" s="3"/>
      <c r="AQ767" s="3"/>
    </row>
    <row r="768" spans="1:43" ht="14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3"/>
      <c r="AO768" s="3"/>
      <c r="AP768" s="3"/>
      <c r="AQ768" s="3"/>
    </row>
    <row r="769" spans="1:43" ht="14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3"/>
      <c r="AO769" s="3"/>
      <c r="AP769" s="3"/>
      <c r="AQ769" s="3"/>
    </row>
    <row r="770" spans="1:43" ht="14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3"/>
      <c r="AO770" s="3"/>
      <c r="AP770" s="3"/>
      <c r="AQ770" s="3"/>
    </row>
    <row r="771" spans="1:43" ht="14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3"/>
      <c r="AO771" s="3"/>
      <c r="AP771" s="3"/>
      <c r="AQ771" s="3"/>
    </row>
    <row r="772" spans="1:43" ht="14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3"/>
      <c r="AO772" s="3"/>
      <c r="AP772" s="3"/>
      <c r="AQ772" s="3"/>
    </row>
    <row r="773" spans="1:43" ht="14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3"/>
      <c r="AO773" s="3"/>
      <c r="AP773" s="3"/>
      <c r="AQ773" s="3"/>
    </row>
    <row r="774" spans="1:43" ht="14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3"/>
      <c r="AO774" s="3"/>
      <c r="AP774" s="3"/>
      <c r="AQ774" s="3"/>
    </row>
    <row r="775" spans="1:43" ht="14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3"/>
      <c r="AO775" s="3"/>
      <c r="AP775" s="3"/>
      <c r="AQ775" s="3"/>
    </row>
    <row r="776" spans="1:43" ht="14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3"/>
      <c r="AO776" s="3"/>
      <c r="AP776" s="3"/>
      <c r="AQ776" s="3"/>
    </row>
    <row r="777" spans="1:43" ht="14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3"/>
      <c r="AO777" s="3"/>
      <c r="AP777" s="3"/>
      <c r="AQ777" s="3"/>
    </row>
    <row r="778" spans="1:43" ht="14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3"/>
      <c r="AO778" s="3"/>
      <c r="AP778" s="3"/>
      <c r="AQ778" s="3"/>
    </row>
    <row r="779" spans="1:43" ht="14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3"/>
      <c r="AO779" s="3"/>
      <c r="AP779" s="3"/>
      <c r="AQ779" s="3"/>
    </row>
    <row r="780" spans="1:43" ht="14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3"/>
      <c r="AO780" s="3"/>
      <c r="AP780" s="3"/>
      <c r="AQ780" s="3"/>
    </row>
    <row r="781" spans="1:43" ht="14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3"/>
      <c r="AO781" s="3"/>
      <c r="AP781" s="3"/>
      <c r="AQ781" s="3"/>
    </row>
    <row r="782" spans="1:43" ht="14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3"/>
      <c r="AO782" s="3"/>
      <c r="AP782" s="3"/>
      <c r="AQ782" s="3"/>
    </row>
    <row r="783" spans="1:43" ht="14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3"/>
      <c r="AO783" s="3"/>
      <c r="AP783" s="3"/>
      <c r="AQ783" s="3"/>
    </row>
    <row r="784" spans="1:43" ht="14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3"/>
      <c r="AO784" s="3"/>
      <c r="AP784" s="3"/>
      <c r="AQ784" s="3"/>
    </row>
    <row r="785" spans="1:43" ht="14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3"/>
      <c r="AO785" s="3"/>
      <c r="AP785" s="3"/>
      <c r="AQ785" s="3"/>
    </row>
    <row r="786" spans="1:43" ht="14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3"/>
      <c r="AO786" s="3"/>
      <c r="AP786" s="3"/>
      <c r="AQ786" s="3"/>
    </row>
    <row r="787" spans="1:43" ht="14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3"/>
      <c r="AO787" s="3"/>
      <c r="AP787" s="3"/>
      <c r="AQ787" s="3"/>
    </row>
    <row r="788" spans="1:43" ht="14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3"/>
      <c r="AO788" s="3"/>
      <c r="AP788" s="3"/>
      <c r="AQ788" s="3"/>
    </row>
    <row r="789" spans="1:43" ht="14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3"/>
      <c r="AO789" s="3"/>
      <c r="AP789" s="3"/>
      <c r="AQ789" s="3"/>
    </row>
    <row r="790" spans="1:43" ht="14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3"/>
      <c r="AO790" s="3"/>
      <c r="AP790" s="3"/>
      <c r="AQ790" s="3"/>
    </row>
    <row r="791" spans="1:43" ht="14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3"/>
      <c r="AO791" s="3"/>
      <c r="AP791" s="3"/>
      <c r="AQ791" s="3"/>
    </row>
    <row r="792" spans="1:43" ht="14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3"/>
      <c r="AO792" s="3"/>
      <c r="AP792" s="3"/>
      <c r="AQ792" s="3"/>
    </row>
    <row r="793" spans="1:43" ht="14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3"/>
      <c r="AO793" s="3"/>
      <c r="AP793" s="3"/>
      <c r="AQ793" s="3"/>
    </row>
    <row r="794" spans="1:43" ht="14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3"/>
      <c r="AO794" s="3"/>
      <c r="AP794" s="3"/>
      <c r="AQ794" s="3"/>
    </row>
    <row r="795" spans="1:43" ht="14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3"/>
      <c r="AO795" s="3"/>
      <c r="AP795" s="3"/>
      <c r="AQ795" s="3"/>
    </row>
    <row r="796" spans="1:43" ht="14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3"/>
      <c r="AO796" s="3"/>
      <c r="AP796" s="3"/>
      <c r="AQ796" s="3"/>
    </row>
    <row r="797" spans="1:43" ht="14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3"/>
      <c r="AO797" s="3"/>
      <c r="AP797" s="3"/>
      <c r="AQ797" s="3"/>
    </row>
    <row r="798" spans="1:43" ht="14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3"/>
      <c r="AO798" s="3"/>
      <c r="AP798" s="3"/>
      <c r="AQ798" s="3"/>
    </row>
    <row r="799" spans="1:43" ht="14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3"/>
      <c r="AO799" s="3"/>
      <c r="AP799" s="3"/>
      <c r="AQ799" s="3"/>
    </row>
    <row r="800" spans="1:43" ht="14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3"/>
      <c r="AO800" s="3"/>
      <c r="AP800" s="3"/>
      <c r="AQ800" s="3"/>
    </row>
    <row r="801" spans="1:43" ht="14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3"/>
      <c r="AO801" s="3"/>
      <c r="AP801" s="3"/>
      <c r="AQ801" s="3"/>
    </row>
    <row r="802" spans="1:43" ht="14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3"/>
      <c r="AO802" s="3"/>
      <c r="AP802" s="3"/>
      <c r="AQ802" s="3"/>
    </row>
    <row r="803" spans="1:43" ht="14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3"/>
      <c r="AO803" s="3"/>
      <c r="AP803" s="3"/>
      <c r="AQ803" s="3"/>
    </row>
    <row r="804" spans="1:43" ht="14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3"/>
      <c r="AO804" s="3"/>
      <c r="AP804" s="3"/>
      <c r="AQ804" s="3"/>
    </row>
    <row r="805" spans="1:43" ht="14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3"/>
      <c r="AO805" s="3"/>
      <c r="AP805" s="3"/>
      <c r="AQ805" s="3"/>
    </row>
    <row r="806" spans="1:43" ht="14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3"/>
      <c r="AO806" s="3"/>
      <c r="AP806" s="3"/>
      <c r="AQ806" s="3"/>
    </row>
    <row r="807" spans="1:43" ht="14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3"/>
      <c r="AO807" s="3"/>
      <c r="AP807" s="3"/>
      <c r="AQ807" s="3"/>
    </row>
    <row r="808" spans="1:43" ht="14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3"/>
      <c r="AO808" s="3"/>
      <c r="AP808" s="3"/>
      <c r="AQ808" s="3"/>
    </row>
    <row r="809" spans="1:43" ht="14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3"/>
      <c r="AO809" s="3"/>
      <c r="AP809" s="3"/>
      <c r="AQ809" s="3"/>
    </row>
    <row r="810" spans="1:43" ht="14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3"/>
      <c r="AO810" s="3"/>
      <c r="AP810" s="3"/>
      <c r="AQ810" s="3"/>
    </row>
    <row r="811" spans="1:43" ht="14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3"/>
      <c r="AO811" s="3"/>
      <c r="AP811" s="3"/>
      <c r="AQ811" s="3"/>
    </row>
    <row r="812" spans="1:43" ht="14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3"/>
      <c r="AO812" s="3"/>
      <c r="AP812" s="3"/>
      <c r="AQ812" s="3"/>
    </row>
    <row r="813" spans="1:43" ht="14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3"/>
      <c r="AO813" s="3"/>
      <c r="AP813" s="3"/>
      <c r="AQ813" s="3"/>
    </row>
    <row r="814" spans="1:43" ht="14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3"/>
      <c r="AO814" s="3"/>
      <c r="AP814" s="3"/>
      <c r="AQ814" s="3"/>
    </row>
    <row r="815" spans="1:43" ht="14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3"/>
      <c r="AO815" s="3"/>
      <c r="AP815" s="3"/>
      <c r="AQ815" s="3"/>
    </row>
    <row r="816" spans="1:43" ht="14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3"/>
      <c r="AO816" s="3"/>
      <c r="AP816" s="3"/>
      <c r="AQ816" s="3"/>
    </row>
    <row r="817" spans="1:43" ht="14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3"/>
      <c r="AO817" s="3"/>
      <c r="AP817" s="3"/>
      <c r="AQ817" s="3"/>
    </row>
    <row r="818" spans="1:43" ht="14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3"/>
      <c r="AO818" s="3"/>
      <c r="AP818" s="3"/>
      <c r="AQ818" s="3"/>
    </row>
    <row r="819" spans="1:43" ht="14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3"/>
      <c r="AO819" s="3"/>
      <c r="AP819" s="3"/>
      <c r="AQ819" s="3"/>
    </row>
    <row r="820" spans="1:43" ht="14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3"/>
      <c r="AO820" s="3"/>
      <c r="AP820" s="3"/>
      <c r="AQ820" s="3"/>
    </row>
    <row r="821" spans="1:43" ht="14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3"/>
      <c r="AO821" s="3"/>
      <c r="AP821" s="3"/>
      <c r="AQ821" s="3"/>
    </row>
    <row r="822" spans="1:43" ht="14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3"/>
      <c r="AO822" s="3"/>
      <c r="AP822" s="3"/>
      <c r="AQ822" s="3"/>
    </row>
    <row r="823" spans="1:43" ht="14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3"/>
      <c r="AO823" s="3"/>
      <c r="AP823" s="3"/>
      <c r="AQ823" s="3"/>
    </row>
    <row r="824" spans="1:43" ht="14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3"/>
      <c r="AO824" s="3"/>
      <c r="AP824" s="3"/>
      <c r="AQ824" s="3"/>
    </row>
    <row r="825" spans="1:43" ht="14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3"/>
      <c r="AO825" s="3"/>
      <c r="AP825" s="3"/>
      <c r="AQ825" s="3"/>
    </row>
    <row r="826" spans="1:43" ht="14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3"/>
      <c r="AO826" s="3"/>
      <c r="AP826" s="3"/>
      <c r="AQ826" s="3"/>
    </row>
    <row r="827" spans="1:43" ht="14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3"/>
      <c r="AO827" s="3"/>
      <c r="AP827" s="3"/>
      <c r="AQ827" s="3"/>
    </row>
    <row r="828" spans="1:43" ht="14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3"/>
      <c r="AO828" s="3"/>
      <c r="AP828" s="3"/>
      <c r="AQ828" s="3"/>
    </row>
    <row r="829" spans="1:43" ht="14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3"/>
      <c r="AO829" s="3"/>
      <c r="AP829" s="3"/>
      <c r="AQ829" s="3"/>
    </row>
    <row r="830" spans="1:43" ht="14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3"/>
      <c r="AO830" s="3"/>
      <c r="AP830" s="3"/>
      <c r="AQ830" s="3"/>
    </row>
    <row r="831" spans="1:43" ht="14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3"/>
      <c r="AO831" s="3"/>
      <c r="AP831" s="3"/>
      <c r="AQ831" s="3"/>
    </row>
    <row r="832" spans="1:43" ht="14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3"/>
      <c r="AO832" s="3"/>
      <c r="AP832" s="3"/>
      <c r="AQ832" s="3"/>
    </row>
    <row r="833" spans="1:43" ht="14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3"/>
      <c r="AO833" s="3"/>
      <c r="AP833" s="3"/>
      <c r="AQ833" s="3"/>
    </row>
    <row r="834" spans="1:43" ht="14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3"/>
      <c r="AO834" s="3"/>
      <c r="AP834" s="3"/>
      <c r="AQ834" s="3"/>
    </row>
    <row r="835" spans="1:43" ht="14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3"/>
      <c r="AO835" s="3"/>
      <c r="AP835" s="3"/>
      <c r="AQ835" s="3"/>
    </row>
    <row r="836" spans="1:43" ht="14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3"/>
      <c r="AO836" s="3"/>
      <c r="AP836" s="3"/>
      <c r="AQ836" s="3"/>
    </row>
    <row r="837" spans="1:43" ht="14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3"/>
      <c r="AO837" s="3"/>
      <c r="AP837" s="3"/>
      <c r="AQ837" s="3"/>
    </row>
    <row r="838" spans="1:43" ht="14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3"/>
      <c r="AO838" s="3"/>
      <c r="AP838" s="3"/>
      <c r="AQ838" s="3"/>
    </row>
    <row r="839" spans="1:43" ht="14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3"/>
      <c r="AO839" s="3"/>
      <c r="AP839" s="3"/>
      <c r="AQ839" s="3"/>
    </row>
    <row r="840" spans="1:43" ht="14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3"/>
      <c r="AO840" s="3"/>
      <c r="AP840" s="3"/>
      <c r="AQ840" s="3"/>
    </row>
    <row r="841" spans="1:43" ht="14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3"/>
      <c r="AO841" s="3"/>
      <c r="AP841" s="3"/>
      <c r="AQ841" s="3"/>
    </row>
    <row r="842" spans="1:43" ht="14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3"/>
      <c r="AO842" s="3"/>
      <c r="AP842" s="3"/>
      <c r="AQ842" s="3"/>
    </row>
    <row r="843" spans="1:43" ht="14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3"/>
      <c r="AO843" s="3"/>
      <c r="AP843" s="3"/>
      <c r="AQ843" s="3"/>
    </row>
    <row r="844" spans="1:43" ht="14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3"/>
      <c r="AO844" s="3"/>
      <c r="AP844" s="3"/>
      <c r="AQ844" s="3"/>
    </row>
    <row r="845" spans="1:43" ht="14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3"/>
      <c r="AO845" s="3"/>
      <c r="AP845" s="3"/>
      <c r="AQ845" s="3"/>
    </row>
    <row r="846" spans="1:43" ht="14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3"/>
      <c r="AO846" s="3"/>
      <c r="AP846" s="3"/>
      <c r="AQ846" s="3"/>
    </row>
    <row r="847" spans="1:43" ht="14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3"/>
      <c r="AO847" s="3"/>
      <c r="AP847" s="3"/>
      <c r="AQ847" s="3"/>
    </row>
    <row r="848" spans="1:43" ht="14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3"/>
      <c r="AO848" s="3"/>
      <c r="AP848" s="3"/>
      <c r="AQ848" s="3"/>
    </row>
    <row r="849" spans="1:43" ht="14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3"/>
      <c r="AO849" s="3"/>
      <c r="AP849" s="3"/>
      <c r="AQ849" s="3"/>
    </row>
    <row r="850" spans="1:43" ht="14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3"/>
      <c r="AO850" s="3"/>
      <c r="AP850" s="3"/>
      <c r="AQ850" s="3"/>
    </row>
    <row r="851" spans="1:43" ht="14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3"/>
      <c r="AO851" s="3"/>
      <c r="AP851" s="3"/>
      <c r="AQ851" s="3"/>
    </row>
    <row r="852" spans="1:43" ht="14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3"/>
      <c r="AO852" s="3"/>
      <c r="AP852" s="3"/>
      <c r="AQ852" s="3"/>
    </row>
    <row r="853" spans="1:43" ht="14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3"/>
      <c r="AO853" s="3"/>
      <c r="AP853" s="3"/>
      <c r="AQ853" s="3"/>
    </row>
    <row r="854" spans="1:43" ht="14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3"/>
      <c r="AO854" s="3"/>
      <c r="AP854" s="3"/>
      <c r="AQ854" s="3"/>
    </row>
    <row r="855" spans="1:43" ht="14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3"/>
      <c r="AO855" s="3"/>
      <c r="AP855" s="3"/>
      <c r="AQ855" s="3"/>
    </row>
    <row r="856" spans="1:43" ht="14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3"/>
      <c r="AO856" s="3"/>
      <c r="AP856" s="3"/>
      <c r="AQ856" s="3"/>
    </row>
    <row r="857" spans="1:43" ht="14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3"/>
      <c r="AO857" s="3"/>
      <c r="AP857" s="3"/>
      <c r="AQ857" s="3"/>
    </row>
    <row r="858" spans="1:43" ht="14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3"/>
      <c r="AO858" s="3"/>
      <c r="AP858" s="3"/>
      <c r="AQ858" s="3"/>
    </row>
    <row r="859" spans="1:43" ht="14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3"/>
      <c r="AO859" s="3"/>
      <c r="AP859" s="3"/>
      <c r="AQ859" s="3"/>
    </row>
    <row r="860" spans="1:43" ht="14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3"/>
      <c r="AO860" s="3"/>
      <c r="AP860" s="3"/>
      <c r="AQ860" s="3"/>
    </row>
    <row r="861" spans="1:43" ht="14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3"/>
      <c r="AO861" s="3"/>
      <c r="AP861" s="3"/>
      <c r="AQ861" s="3"/>
    </row>
    <row r="862" spans="1:43" ht="14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3"/>
      <c r="AO862" s="3"/>
      <c r="AP862" s="3"/>
      <c r="AQ862" s="3"/>
    </row>
    <row r="863" spans="1:43" ht="14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3"/>
      <c r="AO863" s="3"/>
      <c r="AP863" s="3"/>
      <c r="AQ863" s="3"/>
    </row>
    <row r="864" spans="1:43" ht="14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3"/>
      <c r="AO864" s="3"/>
      <c r="AP864" s="3"/>
      <c r="AQ864" s="3"/>
    </row>
    <row r="865" spans="1:43" ht="14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3"/>
      <c r="AO865" s="3"/>
      <c r="AP865" s="3"/>
      <c r="AQ865" s="3"/>
    </row>
    <row r="866" spans="1:43" ht="14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3"/>
      <c r="AO866" s="3"/>
      <c r="AP866" s="3"/>
      <c r="AQ866" s="3"/>
    </row>
    <row r="867" spans="1:43" ht="14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3"/>
      <c r="AO867" s="3"/>
      <c r="AP867" s="3"/>
      <c r="AQ867" s="3"/>
    </row>
    <row r="868" spans="1:43" ht="14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3"/>
      <c r="AO868" s="3"/>
      <c r="AP868" s="3"/>
      <c r="AQ868" s="3"/>
    </row>
    <row r="869" spans="1:43" ht="14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3"/>
      <c r="AO869" s="3"/>
      <c r="AP869" s="3"/>
      <c r="AQ869" s="3"/>
    </row>
    <row r="870" spans="1:43" ht="14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3"/>
      <c r="AO870" s="3"/>
      <c r="AP870" s="3"/>
      <c r="AQ870" s="3"/>
    </row>
    <row r="871" spans="1:43" ht="14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3"/>
      <c r="AO871" s="3"/>
      <c r="AP871" s="3"/>
      <c r="AQ871" s="3"/>
    </row>
    <row r="872" spans="1:43" ht="14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3"/>
      <c r="AO872" s="3"/>
      <c r="AP872" s="3"/>
      <c r="AQ872" s="3"/>
    </row>
    <row r="873" spans="1:43" ht="14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3"/>
      <c r="AO873" s="3"/>
      <c r="AP873" s="3"/>
      <c r="AQ873" s="3"/>
    </row>
    <row r="874" spans="1:43" ht="14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3"/>
      <c r="AO874" s="3"/>
      <c r="AP874" s="3"/>
      <c r="AQ874" s="3"/>
    </row>
    <row r="875" spans="1:43" ht="14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3"/>
      <c r="AO875" s="3"/>
      <c r="AP875" s="3"/>
      <c r="AQ875" s="3"/>
    </row>
    <row r="876" spans="1:43" ht="14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3"/>
      <c r="AO876" s="3"/>
      <c r="AP876" s="3"/>
      <c r="AQ876" s="3"/>
    </row>
    <row r="877" spans="1:43" ht="14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3"/>
      <c r="AO877" s="3"/>
      <c r="AP877" s="3"/>
      <c r="AQ877" s="3"/>
    </row>
    <row r="878" spans="1:43" ht="14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3"/>
      <c r="AO878" s="3"/>
      <c r="AP878" s="3"/>
      <c r="AQ878" s="3"/>
    </row>
    <row r="879" spans="1:43" ht="14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3"/>
      <c r="AO879" s="3"/>
      <c r="AP879" s="3"/>
      <c r="AQ879" s="3"/>
    </row>
    <row r="880" spans="1:43" ht="14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3"/>
      <c r="AO880" s="3"/>
      <c r="AP880" s="3"/>
      <c r="AQ880" s="3"/>
    </row>
    <row r="881" spans="1:43" ht="14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3"/>
      <c r="AO881" s="3"/>
      <c r="AP881" s="3"/>
      <c r="AQ881" s="3"/>
    </row>
    <row r="882" spans="1:43" ht="14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3"/>
      <c r="AO882" s="3"/>
      <c r="AP882" s="3"/>
      <c r="AQ882" s="3"/>
    </row>
    <row r="883" spans="1:43" ht="14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3"/>
      <c r="AO883" s="3"/>
      <c r="AP883" s="3"/>
      <c r="AQ883" s="3"/>
    </row>
    <row r="884" spans="1:43" ht="14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3"/>
      <c r="AO884" s="3"/>
      <c r="AP884" s="3"/>
      <c r="AQ884" s="3"/>
    </row>
    <row r="885" spans="1:43" ht="14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3"/>
      <c r="AO885" s="3"/>
      <c r="AP885" s="3"/>
      <c r="AQ885" s="3"/>
    </row>
    <row r="886" spans="1:43" ht="14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3"/>
      <c r="AO886" s="3"/>
      <c r="AP886" s="3"/>
      <c r="AQ886" s="3"/>
    </row>
    <row r="887" spans="1:43" ht="14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3"/>
      <c r="AO887" s="3"/>
      <c r="AP887" s="3"/>
      <c r="AQ887" s="3"/>
    </row>
    <row r="888" spans="1:43" ht="14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3"/>
      <c r="AO888" s="3"/>
      <c r="AP888" s="3"/>
      <c r="AQ888" s="3"/>
    </row>
    <row r="889" spans="1:43" ht="14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3"/>
      <c r="AO889" s="3"/>
      <c r="AP889" s="3"/>
      <c r="AQ889" s="3"/>
    </row>
    <row r="890" spans="1:43" ht="14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3"/>
      <c r="AO890" s="3"/>
      <c r="AP890" s="3"/>
      <c r="AQ890" s="3"/>
    </row>
    <row r="891" spans="1:43" ht="14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3"/>
      <c r="AO891" s="3"/>
      <c r="AP891" s="3"/>
      <c r="AQ891" s="3"/>
    </row>
    <row r="892" spans="1:43" ht="14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3"/>
      <c r="AO892" s="3"/>
      <c r="AP892" s="3"/>
      <c r="AQ892" s="3"/>
    </row>
    <row r="893" spans="1:43" ht="14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3"/>
      <c r="AO893" s="3"/>
      <c r="AP893" s="3"/>
      <c r="AQ893" s="3"/>
    </row>
    <row r="894" spans="1:43" ht="14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3"/>
      <c r="AO894" s="3"/>
      <c r="AP894" s="3"/>
      <c r="AQ894" s="3"/>
    </row>
    <row r="895" spans="1:43" ht="14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3"/>
      <c r="AO895" s="3"/>
      <c r="AP895" s="3"/>
      <c r="AQ895" s="3"/>
    </row>
    <row r="896" spans="1:43" ht="14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3"/>
      <c r="AO896" s="3"/>
      <c r="AP896" s="3"/>
      <c r="AQ896" s="3"/>
    </row>
    <row r="897" spans="1:43" ht="14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3"/>
      <c r="AO897" s="3"/>
      <c r="AP897" s="3"/>
      <c r="AQ897" s="3"/>
    </row>
    <row r="898" spans="1:43" ht="14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3"/>
      <c r="AO898" s="3"/>
      <c r="AP898" s="3"/>
      <c r="AQ898" s="3"/>
    </row>
    <row r="899" spans="1:43" ht="14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3"/>
      <c r="AO899" s="3"/>
      <c r="AP899" s="3"/>
      <c r="AQ899" s="3"/>
    </row>
    <row r="900" spans="1:43" ht="14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3"/>
      <c r="AO900" s="3"/>
      <c r="AP900" s="3"/>
      <c r="AQ900" s="3"/>
    </row>
    <row r="901" spans="1:43" ht="14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3"/>
      <c r="AO901" s="3"/>
      <c r="AP901" s="3"/>
      <c r="AQ901" s="3"/>
    </row>
    <row r="902" spans="1:43" ht="14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3"/>
      <c r="AO902" s="3"/>
      <c r="AP902" s="3"/>
      <c r="AQ902" s="3"/>
    </row>
    <row r="903" spans="1:43" ht="14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3"/>
      <c r="AO903" s="3"/>
      <c r="AP903" s="3"/>
      <c r="AQ903" s="3"/>
    </row>
    <row r="904" spans="1:43" ht="14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3"/>
      <c r="AO904" s="3"/>
      <c r="AP904" s="3"/>
      <c r="AQ904" s="3"/>
    </row>
    <row r="905" spans="1:43" ht="14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3"/>
      <c r="AO905" s="3"/>
      <c r="AP905" s="3"/>
      <c r="AQ905" s="3"/>
    </row>
    <row r="906" spans="1:43" ht="14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3"/>
      <c r="AO906" s="3"/>
      <c r="AP906" s="3"/>
      <c r="AQ906" s="3"/>
    </row>
    <row r="907" spans="1:43" ht="14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3"/>
      <c r="AO907" s="3"/>
      <c r="AP907" s="3"/>
      <c r="AQ907" s="3"/>
    </row>
    <row r="908" spans="1:43" ht="14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3"/>
      <c r="AO908" s="3"/>
      <c r="AP908" s="3"/>
      <c r="AQ908" s="3"/>
    </row>
    <row r="909" spans="1:43" ht="14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3"/>
      <c r="AO909" s="3"/>
      <c r="AP909" s="3"/>
      <c r="AQ909" s="3"/>
    </row>
    <row r="910" spans="1:43" ht="14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3"/>
      <c r="AO910" s="3"/>
      <c r="AP910" s="3"/>
      <c r="AQ910" s="3"/>
    </row>
    <row r="911" spans="1:43" ht="14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3"/>
      <c r="AO911" s="3"/>
      <c r="AP911" s="3"/>
      <c r="AQ911" s="3"/>
    </row>
    <row r="912" spans="1:43" ht="14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3"/>
      <c r="AO912" s="3"/>
      <c r="AP912" s="3"/>
      <c r="AQ912" s="3"/>
    </row>
    <row r="913" spans="1:43" ht="14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3"/>
      <c r="AO913" s="3"/>
      <c r="AP913" s="3"/>
      <c r="AQ913" s="3"/>
    </row>
    <row r="914" spans="1:43" ht="14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3"/>
      <c r="AO914" s="3"/>
      <c r="AP914" s="3"/>
      <c r="AQ914" s="3"/>
    </row>
    <row r="915" spans="1:43" ht="14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3"/>
      <c r="AO915" s="3"/>
      <c r="AP915" s="3"/>
      <c r="AQ915" s="3"/>
    </row>
    <row r="916" spans="1:43" ht="14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3"/>
      <c r="AO916" s="3"/>
      <c r="AP916" s="3"/>
      <c r="AQ916" s="3"/>
    </row>
    <row r="917" spans="1:43" ht="14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3"/>
      <c r="AO917" s="3"/>
      <c r="AP917" s="3"/>
      <c r="AQ917" s="3"/>
    </row>
    <row r="918" spans="1:43" ht="14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3"/>
      <c r="AO918" s="3"/>
      <c r="AP918" s="3"/>
      <c r="AQ918" s="3"/>
    </row>
    <row r="919" spans="1:43" ht="14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3"/>
      <c r="AO919" s="3"/>
      <c r="AP919" s="3"/>
      <c r="AQ919" s="3"/>
    </row>
    <row r="920" spans="1:43" ht="14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3"/>
      <c r="AO920" s="3"/>
      <c r="AP920" s="3"/>
      <c r="AQ920" s="3"/>
    </row>
    <row r="921" spans="1:43" ht="14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3"/>
      <c r="AO921" s="3"/>
      <c r="AP921" s="3"/>
      <c r="AQ921" s="3"/>
    </row>
    <row r="922" spans="1:43" ht="14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3"/>
      <c r="AO922" s="3"/>
      <c r="AP922" s="3"/>
      <c r="AQ922" s="3"/>
    </row>
    <row r="923" spans="1:43" ht="14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3"/>
      <c r="AO923" s="3"/>
      <c r="AP923" s="3"/>
      <c r="AQ923" s="3"/>
    </row>
    <row r="924" spans="1:43" ht="14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3"/>
      <c r="AO924" s="3"/>
      <c r="AP924" s="3"/>
      <c r="AQ924" s="3"/>
    </row>
    <row r="925" spans="1:43" ht="14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3"/>
      <c r="AO925" s="3"/>
      <c r="AP925" s="3"/>
      <c r="AQ925" s="3"/>
    </row>
    <row r="926" spans="1:43" ht="14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3"/>
      <c r="AO926" s="3"/>
      <c r="AP926" s="3"/>
      <c r="AQ926" s="3"/>
    </row>
    <row r="927" spans="1:43" ht="14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3"/>
      <c r="AO927" s="3"/>
      <c r="AP927" s="3"/>
      <c r="AQ927" s="3"/>
    </row>
    <row r="928" spans="1:43" ht="14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3"/>
      <c r="AO928" s="3"/>
      <c r="AP928" s="3"/>
      <c r="AQ928" s="3"/>
    </row>
    <row r="929" spans="1:43" ht="14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3"/>
      <c r="AO929" s="3"/>
      <c r="AP929" s="3"/>
      <c r="AQ929" s="3"/>
    </row>
    <row r="930" spans="1:43" ht="14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3"/>
      <c r="AO930" s="3"/>
      <c r="AP930" s="3"/>
      <c r="AQ930" s="3"/>
    </row>
    <row r="931" spans="1:43" ht="14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3"/>
      <c r="AO931" s="3"/>
      <c r="AP931" s="3"/>
      <c r="AQ931" s="3"/>
    </row>
    <row r="932" spans="1:43" ht="14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3"/>
      <c r="AO932" s="3"/>
      <c r="AP932" s="3"/>
      <c r="AQ932" s="3"/>
    </row>
    <row r="933" spans="1:43" ht="14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3"/>
      <c r="AO933" s="3"/>
      <c r="AP933" s="3"/>
      <c r="AQ933" s="3"/>
    </row>
    <row r="934" spans="1:43" ht="14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3"/>
      <c r="AO934" s="3"/>
      <c r="AP934" s="3"/>
      <c r="AQ934" s="3"/>
    </row>
    <row r="935" spans="1:43" ht="14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3"/>
      <c r="AO935" s="3"/>
      <c r="AP935" s="3"/>
      <c r="AQ935" s="3"/>
    </row>
    <row r="936" spans="1:43" ht="14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3"/>
      <c r="AO936" s="3"/>
      <c r="AP936" s="3"/>
      <c r="AQ936" s="3"/>
    </row>
    <row r="937" spans="1:43" ht="14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3"/>
      <c r="AO937" s="3"/>
      <c r="AP937" s="3"/>
      <c r="AQ937" s="3"/>
    </row>
    <row r="938" spans="1:43" ht="14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3"/>
      <c r="AO938" s="3"/>
      <c r="AP938" s="3"/>
      <c r="AQ938" s="3"/>
    </row>
    <row r="939" spans="1:43" ht="14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3"/>
      <c r="AO939" s="3"/>
      <c r="AP939" s="3"/>
      <c r="AQ939" s="3"/>
    </row>
    <row r="940" spans="1:43" ht="14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3"/>
      <c r="AO940" s="3"/>
      <c r="AP940" s="3"/>
      <c r="AQ940" s="3"/>
    </row>
    <row r="941" spans="1:43" ht="14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3"/>
      <c r="AO941" s="3"/>
      <c r="AP941" s="3"/>
      <c r="AQ941" s="3"/>
    </row>
    <row r="942" spans="1:43" ht="14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3"/>
      <c r="AO942" s="3"/>
      <c r="AP942" s="3"/>
      <c r="AQ942" s="3"/>
    </row>
    <row r="943" spans="1:43" ht="14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3"/>
      <c r="AO943" s="3"/>
      <c r="AP943" s="3"/>
      <c r="AQ943" s="3"/>
    </row>
    <row r="944" spans="1:43" ht="14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3"/>
      <c r="AO944" s="3"/>
      <c r="AP944" s="3"/>
      <c r="AQ944" s="3"/>
    </row>
    <row r="945" spans="1:43" ht="14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3"/>
      <c r="AO945" s="3"/>
      <c r="AP945" s="3"/>
      <c r="AQ945" s="3"/>
    </row>
    <row r="946" spans="1:43" ht="14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3"/>
      <c r="AO946" s="3"/>
      <c r="AP946" s="3"/>
      <c r="AQ946" s="3"/>
    </row>
    <row r="947" spans="1:43" ht="14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3"/>
      <c r="AO947" s="3"/>
      <c r="AP947" s="3"/>
      <c r="AQ947" s="3"/>
    </row>
    <row r="948" spans="1:43" ht="14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3"/>
      <c r="AO948" s="3"/>
      <c r="AP948" s="3"/>
      <c r="AQ948" s="3"/>
    </row>
    <row r="949" spans="1:43" ht="14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3"/>
      <c r="AO949" s="3"/>
      <c r="AP949" s="3"/>
      <c r="AQ949" s="3"/>
    </row>
    <row r="950" spans="1:43" ht="14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3"/>
      <c r="AO950" s="3"/>
      <c r="AP950" s="3"/>
      <c r="AQ950" s="3"/>
    </row>
    <row r="951" spans="1:43" ht="14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3"/>
      <c r="AO951" s="3"/>
      <c r="AP951" s="3"/>
      <c r="AQ951" s="3"/>
    </row>
    <row r="952" spans="1:43" ht="14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3"/>
      <c r="AO952" s="3"/>
      <c r="AP952" s="3"/>
      <c r="AQ952" s="3"/>
    </row>
    <row r="953" spans="1:43" ht="14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3"/>
      <c r="AO953" s="3"/>
      <c r="AP953" s="3"/>
      <c r="AQ953" s="3"/>
    </row>
    <row r="954" spans="1:43" ht="14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3"/>
      <c r="AO954" s="3"/>
      <c r="AP954" s="3"/>
      <c r="AQ954" s="3"/>
    </row>
    <row r="955" spans="1:43" ht="14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3"/>
      <c r="AO955" s="3"/>
      <c r="AP955" s="3"/>
      <c r="AQ955" s="3"/>
    </row>
    <row r="956" spans="1:43" ht="14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3"/>
      <c r="AO956" s="3"/>
      <c r="AP956" s="3"/>
      <c r="AQ956" s="3"/>
    </row>
    <row r="957" spans="1:43" ht="14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3"/>
      <c r="AO957" s="3"/>
      <c r="AP957" s="3"/>
      <c r="AQ957" s="3"/>
    </row>
    <row r="958" spans="1:43" ht="14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3"/>
      <c r="AO958" s="3"/>
      <c r="AP958" s="3"/>
      <c r="AQ958" s="3"/>
    </row>
    <row r="959" spans="1:43" ht="14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3"/>
      <c r="AO959" s="3"/>
      <c r="AP959" s="3"/>
      <c r="AQ959" s="3"/>
    </row>
    <row r="960" spans="1:43" ht="14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3"/>
      <c r="AO960" s="3"/>
      <c r="AP960" s="3"/>
      <c r="AQ960" s="3"/>
    </row>
    <row r="961" spans="1:43" ht="14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3"/>
      <c r="AO961" s="3"/>
      <c r="AP961" s="3"/>
      <c r="AQ961" s="3"/>
    </row>
    <row r="962" spans="1:43" ht="14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3"/>
      <c r="AO962" s="3"/>
      <c r="AP962" s="3"/>
      <c r="AQ962" s="3"/>
    </row>
    <row r="963" spans="1:43" ht="14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3"/>
      <c r="AO963" s="3"/>
      <c r="AP963" s="3"/>
      <c r="AQ963" s="3"/>
    </row>
    <row r="964" spans="1:43" ht="14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3"/>
      <c r="AO964" s="3"/>
      <c r="AP964" s="3"/>
      <c r="AQ964" s="3"/>
    </row>
    <row r="965" spans="1:43" ht="14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3"/>
      <c r="AO965" s="3"/>
      <c r="AP965" s="3"/>
      <c r="AQ965" s="3"/>
    </row>
    <row r="966" spans="1:43" ht="14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3"/>
      <c r="AO966" s="3"/>
      <c r="AP966" s="3"/>
      <c r="AQ966" s="3"/>
    </row>
    <row r="967" spans="1:43" ht="14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3"/>
      <c r="AO967" s="3"/>
      <c r="AP967" s="3"/>
      <c r="AQ967" s="3"/>
    </row>
    <row r="968" spans="1:43" ht="14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3"/>
      <c r="AO968" s="3"/>
      <c r="AP968" s="3"/>
      <c r="AQ968" s="3"/>
    </row>
    <row r="969" spans="1:43" ht="14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3"/>
      <c r="AO969" s="3"/>
      <c r="AP969" s="3"/>
      <c r="AQ969" s="3"/>
    </row>
    <row r="970" spans="1:43" ht="14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3"/>
      <c r="AO970" s="3"/>
      <c r="AP970" s="3"/>
      <c r="AQ970" s="3"/>
    </row>
    <row r="971" spans="1:43" ht="14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3"/>
      <c r="AO971" s="3"/>
      <c r="AP971" s="3"/>
      <c r="AQ971" s="3"/>
    </row>
    <row r="972" spans="1:43" ht="14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3"/>
      <c r="AO972" s="3"/>
      <c r="AP972" s="3"/>
      <c r="AQ972" s="3"/>
    </row>
    <row r="973" spans="1:43" ht="14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3"/>
      <c r="AO973" s="3"/>
      <c r="AP973" s="3"/>
      <c r="AQ973" s="3"/>
    </row>
    <row r="974" spans="1:43" ht="14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3"/>
      <c r="AO974" s="3"/>
      <c r="AP974" s="3"/>
      <c r="AQ974" s="3"/>
    </row>
    <row r="975" spans="1:43" ht="14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3"/>
      <c r="AO975" s="3"/>
      <c r="AP975" s="3"/>
      <c r="AQ975" s="3"/>
    </row>
    <row r="976" spans="1:43" ht="14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3"/>
      <c r="AO976" s="3"/>
      <c r="AP976" s="3"/>
      <c r="AQ976" s="3"/>
    </row>
    <row r="977" spans="1:43" ht="14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3"/>
      <c r="AO977" s="3"/>
      <c r="AP977" s="3"/>
      <c r="AQ977" s="3"/>
    </row>
    <row r="978" spans="1:43" ht="14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3"/>
      <c r="AO978" s="3"/>
      <c r="AP978" s="3"/>
      <c r="AQ978" s="3"/>
    </row>
    <row r="979" spans="1:43" ht="14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3"/>
      <c r="AO979" s="3"/>
      <c r="AP979" s="3"/>
      <c r="AQ979" s="3"/>
    </row>
    <row r="980" spans="1:43" ht="14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3"/>
      <c r="AO980" s="3"/>
      <c r="AP980" s="3"/>
      <c r="AQ980" s="3"/>
    </row>
    <row r="981" spans="1:43" ht="14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3"/>
      <c r="AO981" s="3"/>
      <c r="AP981" s="3"/>
      <c r="AQ981" s="3"/>
    </row>
    <row r="982" spans="1:43" ht="14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3"/>
      <c r="AO982" s="3"/>
      <c r="AP982" s="3"/>
      <c r="AQ982" s="3"/>
    </row>
    <row r="983" spans="1:43" ht="14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3"/>
      <c r="AO983" s="3"/>
      <c r="AP983" s="3"/>
      <c r="AQ983" s="3"/>
    </row>
    <row r="984" spans="1:43" ht="14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3"/>
      <c r="AO984" s="3"/>
      <c r="AP984" s="3"/>
      <c r="AQ984" s="3"/>
    </row>
    <row r="985" spans="1:43" ht="14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3"/>
      <c r="AO985" s="3"/>
      <c r="AP985" s="3"/>
      <c r="AQ985" s="3"/>
    </row>
    <row r="986" spans="1:43" ht="14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3"/>
      <c r="AO986" s="3"/>
      <c r="AP986" s="3"/>
      <c r="AQ986" s="3"/>
    </row>
    <row r="987" spans="1:43" ht="14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3"/>
      <c r="AO987" s="3"/>
      <c r="AP987" s="3"/>
      <c r="AQ987" s="3"/>
    </row>
    <row r="988" spans="1:43" ht="14.2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3"/>
      <c r="AO988" s="3"/>
      <c r="AP988" s="3"/>
      <c r="AQ988" s="3"/>
    </row>
    <row r="989" spans="1:43" ht="14.2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3"/>
      <c r="AO989" s="3"/>
      <c r="AP989" s="3"/>
      <c r="AQ989" s="3"/>
    </row>
    <row r="990" spans="1:43" ht="14.2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3"/>
      <c r="AO990" s="3"/>
      <c r="AP990" s="3"/>
      <c r="AQ990" s="3"/>
    </row>
    <row r="991" spans="1:43" ht="14.2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3"/>
      <c r="AO991" s="3"/>
      <c r="AP991" s="3"/>
      <c r="AQ991" s="3"/>
    </row>
    <row r="992" spans="1:43" ht="14.2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3"/>
      <c r="AO992" s="3"/>
      <c r="AP992" s="3"/>
      <c r="AQ992" s="3"/>
    </row>
    <row r="993" spans="1:43" ht="14.2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3"/>
      <c r="AO993" s="3"/>
      <c r="AP993" s="3"/>
      <c r="AQ993" s="3"/>
    </row>
    <row r="994" spans="1:43" ht="14.2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3"/>
      <c r="AO994" s="3"/>
      <c r="AP994" s="3"/>
      <c r="AQ994" s="3"/>
    </row>
    <row r="995" spans="1:43" ht="14.2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3"/>
      <c r="AO995" s="3"/>
      <c r="AP995" s="3"/>
      <c r="AQ995" s="3"/>
    </row>
    <row r="996" spans="1:43" ht="14.2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3"/>
      <c r="AO996" s="3"/>
      <c r="AP996" s="3"/>
      <c r="AQ996" s="3"/>
    </row>
    <row r="997" spans="1:43" ht="14.2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3"/>
      <c r="AO997" s="3"/>
      <c r="AP997" s="3"/>
      <c r="AQ997" s="3"/>
    </row>
    <row r="998" spans="1:43" ht="14.2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3"/>
      <c r="AO998" s="3"/>
      <c r="AP998" s="3"/>
      <c r="AQ998" s="3"/>
    </row>
    <row r="999" spans="1:43" ht="14.2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3"/>
      <c r="AO999" s="3"/>
      <c r="AP999" s="3"/>
      <c r="AQ999" s="3"/>
    </row>
    <row r="1000" spans="1:43" ht="14.2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3"/>
      <c r="AO1000" s="3"/>
      <c r="AP1000" s="3"/>
      <c r="AQ1000" s="3"/>
    </row>
    <row r="1001" spans="1:43" ht="14.2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3"/>
      <c r="AO1001" s="3"/>
      <c r="AP1001" s="3"/>
      <c r="AQ1001" s="3"/>
    </row>
    <row r="1002" spans="1:43" ht="14.25" customHeight="1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3"/>
      <c r="AO1002" s="3"/>
      <c r="AP1002" s="3"/>
      <c r="AQ1002" s="3"/>
    </row>
    <row r="1003" spans="1:43" ht="14.25" customHeight="1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3"/>
      <c r="AO1003" s="3"/>
      <c r="AP1003" s="3"/>
      <c r="AQ1003" s="3"/>
    </row>
    <row r="1004" spans="1:43" ht="14.25" customHeight="1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3"/>
      <c r="AO1004" s="3"/>
      <c r="AP1004" s="3"/>
      <c r="AQ1004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workbookViewId="0"/>
  </sheetViews>
  <sheetFormatPr baseColWidth="10" defaultColWidth="12.6640625" defaultRowHeight="15" customHeight="1" x14ac:dyDescent="0.2"/>
  <cols>
    <col min="1" max="1" width="20.1640625" customWidth="1"/>
    <col min="2" max="2" width="22.6640625" customWidth="1"/>
    <col min="3" max="3" width="16.1640625" customWidth="1"/>
    <col min="4" max="26" width="8.6640625" customWidth="1"/>
  </cols>
  <sheetData>
    <row r="1" spans="1:26" ht="14.25" customHeight="1" x14ac:dyDescent="0.2">
      <c r="A1" s="43" t="s">
        <v>22</v>
      </c>
      <c r="B1" s="44"/>
    </row>
    <row r="2" spans="1:26" ht="14.25" customHeight="1" x14ac:dyDescent="0.2">
      <c r="B2" s="44"/>
    </row>
    <row r="3" spans="1:26" ht="14.25" customHeight="1" x14ac:dyDescent="0.2">
      <c r="A3" s="45" t="s">
        <v>23</v>
      </c>
      <c r="B3" s="45" t="s">
        <v>24</v>
      </c>
      <c r="C3" s="45" t="s">
        <v>25</v>
      </c>
      <c r="D3" s="44"/>
      <c r="E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ht="14.25" customHeight="1" x14ac:dyDescent="0.2">
      <c r="A4" s="46" t="s">
        <v>26</v>
      </c>
      <c r="B4" s="47">
        <v>1798807888</v>
      </c>
      <c r="C4" s="46" t="s">
        <v>27</v>
      </c>
    </row>
    <row r="5" spans="1:26" ht="14.25" customHeight="1" x14ac:dyDescent="0.2">
      <c r="A5" s="46"/>
      <c r="B5" s="47">
        <v>1792772778</v>
      </c>
      <c r="C5" s="48" t="s">
        <v>28</v>
      </c>
    </row>
    <row r="6" spans="1:26" ht="14.25" customHeight="1" x14ac:dyDescent="0.2">
      <c r="A6" s="48" t="s">
        <v>29</v>
      </c>
      <c r="B6" s="49" t="s">
        <v>30</v>
      </c>
      <c r="C6" s="48" t="s">
        <v>31</v>
      </c>
    </row>
    <row r="7" spans="1:26" ht="14.25" customHeight="1" x14ac:dyDescent="0.2">
      <c r="A7" s="48" t="s">
        <v>32</v>
      </c>
      <c r="B7" s="47">
        <v>5565557778</v>
      </c>
      <c r="C7" s="46"/>
    </row>
    <row r="8" spans="1:26" ht="14.25" customHeight="1" x14ac:dyDescent="0.2">
      <c r="A8" s="48" t="s">
        <v>33</v>
      </c>
      <c r="B8" s="47">
        <v>762980867900</v>
      </c>
      <c r="C8" s="46"/>
    </row>
    <row r="9" spans="1:26" ht="14.25" customHeight="1" x14ac:dyDescent="0.2">
      <c r="A9" s="48" t="s">
        <v>34</v>
      </c>
      <c r="B9" s="47">
        <v>13130567889</v>
      </c>
      <c r="C9" s="46"/>
    </row>
    <row r="10" spans="1:26" ht="14.25" customHeight="1" x14ac:dyDescent="0.2">
      <c r="B10" s="44"/>
    </row>
    <row r="11" spans="1:26" ht="14.25" customHeight="1" x14ac:dyDescent="0.2">
      <c r="A11" s="1" t="s">
        <v>35</v>
      </c>
      <c r="B11" s="44"/>
    </row>
    <row r="12" spans="1:26" ht="14.25" customHeight="1" x14ac:dyDescent="0.2">
      <c r="A12" s="45" t="s">
        <v>23</v>
      </c>
      <c r="B12" s="45" t="s">
        <v>24</v>
      </c>
      <c r="C12" s="45" t="s">
        <v>25</v>
      </c>
    </row>
    <row r="13" spans="1:26" ht="14.25" customHeight="1" x14ac:dyDescent="0.2">
      <c r="A13" s="50" t="s">
        <v>26</v>
      </c>
      <c r="B13" s="47">
        <v>1798888837</v>
      </c>
      <c r="C13" s="50" t="s">
        <v>36</v>
      </c>
    </row>
    <row r="14" spans="1:26" ht="14.25" customHeight="1" x14ac:dyDescent="0.2">
      <c r="A14" s="51"/>
      <c r="B14" s="47">
        <v>1795798899</v>
      </c>
      <c r="C14" s="50" t="s">
        <v>37</v>
      </c>
    </row>
    <row r="15" spans="1:26" ht="14.25" customHeight="1" x14ac:dyDescent="0.2">
      <c r="A15" s="50" t="s">
        <v>29</v>
      </c>
      <c r="B15" s="47" t="s">
        <v>38</v>
      </c>
      <c r="C15" s="50" t="s">
        <v>36</v>
      </c>
    </row>
    <row r="16" spans="1:26" ht="14.25" customHeight="1" x14ac:dyDescent="0.2">
      <c r="A16" s="51"/>
      <c r="B16" s="47" t="s">
        <v>39</v>
      </c>
      <c r="C16" s="50" t="s">
        <v>37</v>
      </c>
    </row>
    <row r="17" spans="1:3" ht="14.25" customHeight="1" x14ac:dyDescent="0.2">
      <c r="A17" s="50" t="s">
        <v>40</v>
      </c>
      <c r="B17" s="47">
        <v>1170011730447</v>
      </c>
      <c r="C17" s="50" t="s">
        <v>36</v>
      </c>
    </row>
    <row r="18" spans="1:3" ht="14.25" customHeight="1" x14ac:dyDescent="0.2">
      <c r="B18" s="44"/>
    </row>
    <row r="19" spans="1:3" ht="14.25" customHeight="1" x14ac:dyDescent="0.2">
      <c r="B19" s="44"/>
    </row>
    <row r="20" spans="1:3" ht="14.25" customHeight="1" x14ac:dyDescent="0.2">
      <c r="B20" s="44"/>
    </row>
    <row r="21" spans="1:3" ht="14.25" customHeight="1" x14ac:dyDescent="0.2">
      <c r="B21" s="44"/>
    </row>
    <row r="22" spans="1:3" ht="14.25" customHeight="1" x14ac:dyDescent="0.2">
      <c r="B22" s="44"/>
    </row>
    <row r="23" spans="1:3" ht="14.25" customHeight="1" x14ac:dyDescent="0.2">
      <c r="B23" s="44"/>
    </row>
    <row r="24" spans="1:3" ht="14.25" customHeight="1" x14ac:dyDescent="0.2">
      <c r="B24" s="44"/>
    </row>
    <row r="25" spans="1:3" ht="14.25" customHeight="1" x14ac:dyDescent="0.2">
      <c r="B25" s="44"/>
    </row>
    <row r="26" spans="1:3" ht="14.25" customHeight="1" x14ac:dyDescent="0.2">
      <c r="B26" s="44"/>
    </row>
    <row r="27" spans="1:3" ht="14.25" customHeight="1" x14ac:dyDescent="0.2">
      <c r="B27" s="44"/>
    </row>
    <row r="28" spans="1:3" ht="14.25" customHeight="1" x14ac:dyDescent="0.2">
      <c r="B28" s="44"/>
    </row>
    <row r="29" spans="1:3" ht="14.25" customHeight="1" x14ac:dyDescent="0.2">
      <c r="B29" s="44"/>
    </row>
    <row r="30" spans="1:3" ht="14.25" customHeight="1" x14ac:dyDescent="0.2">
      <c r="B30" s="44"/>
    </row>
    <row r="31" spans="1:3" ht="14.25" customHeight="1" x14ac:dyDescent="0.2">
      <c r="B31" s="44"/>
    </row>
    <row r="32" spans="1:3" ht="14.25" customHeight="1" x14ac:dyDescent="0.2">
      <c r="B32" s="44"/>
    </row>
    <row r="33" spans="2:2" ht="14.25" customHeight="1" x14ac:dyDescent="0.2">
      <c r="B33" s="44"/>
    </row>
    <row r="34" spans="2:2" ht="14.25" customHeight="1" x14ac:dyDescent="0.2">
      <c r="B34" s="44"/>
    </row>
    <row r="35" spans="2:2" ht="14.25" customHeight="1" x14ac:dyDescent="0.2">
      <c r="B35" s="44"/>
    </row>
    <row r="36" spans="2:2" ht="14.25" customHeight="1" x14ac:dyDescent="0.2">
      <c r="B36" s="44"/>
    </row>
    <row r="37" spans="2:2" ht="14.25" customHeight="1" x14ac:dyDescent="0.2">
      <c r="B37" s="44"/>
    </row>
    <row r="38" spans="2:2" ht="14.25" customHeight="1" x14ac:dyDescent="0.2">
      <c r="B38" s="44"/>
    </row>
    <row r="39" spans="2:2" ht="14.25" customHeight="1" x14ac:dyDescent="0.2">
      <c r="B39" s="44"/>
    </row>
    <row r="40" spans="2:2" ht="14.25" customHeight="1" x14ac:dyDescent="0.2">
      <c r="B40" s="44"/>
    </row>
    <row r="41" spans="2:2" ht="14.25" customHeight="1" x14ac:dyDescent="0.2">
      <c r="B41" s="44"/>
    </row>
    <row r="42" spans="2:2" ht="14.25" customHeight="1" x14ac:dyDescent="0.2">
      <c r="B42" s="44"/>
    </row>
    <row r="43" spans="2:2" ht="14.25" customHeight="1" x14ac:dyDescent="0.2">
      <c r="B43" s="44"/>
    </row>
    <row r="44" spans="2:2" ht="14.25" customHeight="1" x14ac:dyDescent="0.2">
      <c r="B44" s="44"/>
    </row>
    <row r="45" spans="2:2" ht="14.25" customHeight="1" x14ac:dyDescent="0.2">
      <c r="B45" s="44"/>
    </row>
    <row r="46" spans="2:2" ht="14.25" customHeight="1" x14ac:dyDescent="0.2">
      <c r="B46" s="44"/>
    </row>
    <row r="47" spans="2:2" ht="14.25" customHeight="1" x14ac:dyDescent="0.2">
      <c r="B47" s="44"/>
    </row>
    <row r="48" spans="2:2" ht="14.25" customHeight="1" x14ac:dyDescent="0.2">
      <c r="B48" s="44"/>
    </row>
    <row r="49" spans="2:2" ht="14.25" customHeight="1" x14ac:dyDescent="0.2">
      <c r="B49" s="44"/>
    </row>
    <row r="50" spans="2:2" ht="14.25" customHeight="1" x14ac:dyDescent="0.2">
      <c r="B50" s="44"/>
    </row>
    <row r="51" spans="2:2" ht="14.25" customHeight="1" x14ac:dyDescent="0.2">
      <c r="B51" s="44"/>
    </row>
    <row r="52" spans="2:2" ht="14.25" customHeight="1" x14ac:dyDescent="0.2">
      <c r="B52" s="44"/>
    </row>
    <row r="53" spans="2:2" ht="14.25" customHeight="1" x14ac:dyDescent="0.2">
      <c r="B53" s="44"/>
    </row>
    <row r="54" spans="2:2" ht="14.25" customHeight="1" x14ac:dyDescent="0.2">
      <c r="B54" s="44"/>
    </row>
    <row r="55" spans="2:2" ht="14.25" customHeight="1" x14ac:dyDescent="0.2">
      <c r="B55" s="44"/>
    </row>
    <row r="56" spans="2:2" ht="14.25" customHeight="1" x14ac:dyDescent="0.2">
      <c r="B56" s="44"/>
    </row>
    <row r="57" spans="2:2" ht="14.25" customHeight="1" x14ac:dyDescent="0.2">
      <c r="B57" s="44"/>
    </row>
    <row r="58" spans="2:2" ht="14.25" customHeight="1" x14ac:dyDescent="0.2">
      <c r="B58" s="44"/>
    </row>
    <row r="59" spans="2:2" ht="14.25" customHeight="1" x14ac:dyDescent="0.2">
      <c r="B59" s="44"/>
    </row>
    <row r="60" spans="2:2" ht="14.25" customHeight="1" x14ac:dyDescent="0.2">
      <c r="B60" s="44"/>
    </row>
    <row r="61" spans="2:2" ht="14.25" customHeight="1" x14ac:dyDescent="0.2">
      <c r="B61" s="44"/>
    </row>
    <row r="62" spans="2:2" ht="14.25" customHeight="1" x14ac:dyDescent="0.2">
      <c r="B62" s="44"/>
    </row>
    <row r="63" spans="2:2" ht="14.25" customHeight="1" x14ac:dyDescent="0.2">
      <c r="B63" s="44"/>
    </row>
    <row r="64" spans="2:2" ht="14.25" customHeight="1" x14ac:dyDescent="0.2">
      <c r="B64" s="44"/>
    </row>
    <row r="65" spans="2:2" ht="14.25" customHeight="1" x14ac:dyDescent="0.2">
      <c r="B65" s="44"/>
    </row>
    <row r="66" spans="2:2" ht="14.25" customHeight="1" x14ac:dyDescent="0.2">
      <c r="B66" s="44"/>
    </row>
    <row r="67" spans="2:2" ht="14.25" customHeight="1" x14ac:dyDescent="0.2">
      <c r="B67" s="44"/>
    </row>
    <row r="68" spans="2:2" ht="14.25" customHeight="1" x14ac:dyDescent="0.2">
      <c r="B68" s="44"/>
    </row>
    <row r="69" spans="2:2" ht="14.25" customHeight="1" x14ac:dyDescent="0.2">
      <c r="B69" s="44"/>
    </row>
    <row r="70" spans="2:2" ht="14.25" customHeight="1" x14ac:dyDescent="0.2">
      <c r="B70" s="44"/>
    </row>
    <row r="71" spans="2:2" ht="14.25" customHeight="1" x14ac:dyDescent="0.2">
      <c r="B71" s="44"/>
    </row>
    <row r="72" spans="2:2" ht="14.25" customHeight="1" x14ac:dyDescent="0.2">
      <c r="B72" s="44"/>
    </row>
    <row r="73" spans="2:2" ht="14.25" customHeight="1" x14ac:dyDescent="0.2">
      <c r="B73" s="44"/>
    </row>
    <row r="74" spans="2:2" ht="14.25" customHeight="1" x14ac:dyDescent="0.2">
      <c r="B74" s="44"/>
    </row>
    <row r="75" spans="2:2" ht="14.25" customHeight="1" x14ac:dyDescent="0.2">
      <c r="B75" s="44"/>
    </row>
    <row r="76" spans="2:2" ht="14.25" customHeight="1" x14ac:dyDescent="0.2">
      <c r="B76" s="44"/>
    </row>
    <row r="77" spans="2:2" ht="14.25" customHeight="1" x14ac:dyDescent="0.2">
      <c r="B77" s="44"/>
    </row>
    <row r="78" spans="2:2" ht="14.25" customHeight="1" x14ac:dyDescent="0.2">
      <c r="B78" s="44"/>
    </row>
    <row r="79" spans="2:2" ht="14.25" customHeight="1" x14ac:dyDescent="0.2">
      <c r="B79" s="44"/>
    </row>
    <row r="80" spans="2:2" ht="14.25" customHeight="1" x14ac:dyDescent="0.2">
      <c r="B80" s="44"/>
    </row>
    <row r="81" spans="2:2" ht="14.25" customHeight="1" x14ac:dyDescent="0.2">
      <c r="B81" s="44"/>
    </row>
    <row r="82" spans="2:2" ht="14.25" customHeight="1" x14ac:dyDescent="0.2">
      <c r="B82" s="44"/>
    </row>
    <row r="83" spans="2:2" ht="14.25" customHeight="1" x14ac:dyDescent="0.2">
      <c r="B83" s="44"/>
    </row>
    <row r="84" spans="2:2" ht="14.25" customHeight="1" x14ac:dyDescent="0.2">
      <c r="B84" s="44"/>
    </row>
    <row r="85" spans="2:2" ht="14.25" customHeight="1" x14ac:dyDescent="0.2">
      <c r="B85" s="44"/>
    </row>
    <row r="86" spans="2:2" ht="14.25" customHeight="1" x14ac:dyDescent="0.2">
      <c r="B86" s="44"/>
    </row>
    <row r="87" spans="2:2" ht="14.25" customHeight="1" x14ac:dyDescent="0.2">
      <c r="B87" s="44"/>
    </row>
    <row r="88" spans="2:2" ht="14.25" customHeight="1" x14ac:dyDescent="0.2">
      <c r="B88" s="44"/>
    </row>
    <row r="89" spans="2:2" ht="14.25" customHeight="1" x14ac:dyDescent="0.2">
      <c r="B89" s="44"/>
    </row>
    <row r="90" spans="2:2" ht="14.25" customHeight="1" x14ac:dyDescent="0.2">
      <c r="B90" s="44"/>
    </row>
    <row r="91" spans="2:2" ht="14.25" customHeight="1" x14ac:dyDescent="0.2">
      <c r="B91" s="44"/>
    </row>
    <row r="92" spans="2:2" ht="14.25" customHeight="1" x14ac:dyDescent="0.2">
      <c r="B92" s="44"/>
    </row>
    <row r="93" spans="2:2" ht="14.25" customHeight="1" x14ac:dyDescent="0.2">
      <c r="B93" s="44"/>
    </row>
    <row r="94" spans="2:2" ht="14.25" customHeight="1" x14ac:dyDescent="0.2">
      <c r="B94" s="44"/>
    </row>
    <row r="95" spans="2:2" ht="14.25" customHeight="1" x14ac:dyDescent="0.2">
      <c r="B95" s="44"/>
    </row>
    <row r="96" spans="2:2" ht="14.25" customHeight="1" x14ac:dyDescent="0.2">
      <c r="B96" s="44"/>
    </row>
    <row r="97" spans="2:2" ht="14.25" customHeight="1" x14ac:dyDescent="0.2">
      <c r="B97" s="44"/>
    </row>
    <row r="98" spans="2:2" ht="14.25" customHeight="1" x14ac:dyDescent="0.2">
      <c r="B98" s="44"/>
    </row>
    <row r="99" spans="2:2" ht="14.25" customHeight="1" x14ac:dyDescent="0.2">
      <c r="B99" s="44"/>
    </row>
    <row r="100" spans="2:2" ht="14.25" customHeight="1" x14ac:dyDescent="0.2">
      <c r="B100" s="44"/>
    </row>
    <row r="101" spans="2:2" ht="14.25" customHeight="1" x14ac:dyDescent="0.2">
      <c r="B101" s="44"/>
    </row>
    <row r="102" spans="2:2" ht="14.25" customHeight="1" x14ac:dyDescent="0.2">
      <c r="B102" s="44"/>
    </row>
    <row r="103" spans="2:2" ht="14.25" customHeight="1" x14ac:dyDescent="0.2">
      <c r="B103" s="44"/>
    </row>
    <row r="104" spans="2:2" ht="14.25" customHeight="1" x14ac:dyDescent="0.2">
      <c r="B104" s="44"/>
    </row>
    <row r="105" spans="2:2" ht="14.25" customHeight="1" x14ac:dyDescent="0.2">
      <c r="B105" s="44"/>
    </row>
    <row r="106" spans="2:2" ht="14.25" customHeight="1" x14ac:dyDescent="0.2">
      <c r="B106" s="44"/>
    </row>
    <row r="107" spans="2:2" ht="14.25" customHeight="1" x14ac:dyDescent="0.2">
      <c r="B107" s="44"/>
    </row>
    <row r="108" spans="2:2" ht="14.25" customHeight="1" x14ac:dyDescent="0.2">
      <c r="B108" s="44"/>
    </row>
    <row r="109" spans="2:2" ht="14.25" customHeight="1" x14ac:dyDescent="0.2">
      <c r="B109" s="44"/>
    </row>
    <row r="110" spans="2:2" ht="14.25" customHeight="1" x14ac:dyDescent="0.2">
      <c r="B110" s="44"/>
    </row>
    <row r="111" spans="2:2" ht="14.25" customHeight="1" x14ac:dyDescent="0.2">
      <c r="B111" s="44"/>
    </row>
    <row r="112" spans="2:2" ht="14.25" customHeight="1" x14ac:dyDescent="0.2">
      <c r="B112" s="44"/>
    </row>
    <row r="113" spans="2:2" ht="14.25" customHeight="1" x14ac:dyDescent="0.2">
      <c r="B113" s="44"/>
    </row>
    <row r="114" spans="2:2" ht="14.25" customHeight="1" x14ac:dyDescent="0.2">
      <c r="B114" s="44"/>
    </row>
    <row r="115" spans="2:2" ht="14.25" customHeight="1" x14ac:dyDescent="0.2">
      <c r="B115" s="44"/>
    </row>
    <row r="116" spans="2:2" ht="14.25" customHeight="1" x14ac:dyDescent="0.2">
      <c r="B116" s="44"/>
    </row>
    <row r="117" spans="2:2" ht="14.25" customHeight="1" x14ac:dyDescent="0.2">
      <c r="B117" s="44"/>
    </row>
    <row r="118" spans="2:2" ht="14.25" customHeight="1" x14ac:dyDescent="0.2">
      <c r="B118" s="44"/>
    </row>
    <row r="119" spans="2:2" ht="14.25" customHeight="1" x14ac:dyDescent="0.2">
      <c r="B119" s="44"/>
    </row>
    <row r="120" spans="2:2" ht="14.25" customHeight="1" x14ac:dyDescent="0.2">
      <c r="B120" s="44"/>
    </row>
    <row r="121" spans="2:2" ht="14.25" customHeight="1" x14ac:dyDescent="0.2">
      <c r="B121" s="44"/>
    </row>
    <row r="122" spans="2:2" ht="14.25" customHeight="1" x14ac:dyDescent="0.2">
      <c r="B122" s="44"/>
    </row>
    <row r="123" spans="2:2" ht="14.25" customHeight="1" x14ac:dyDescent="0.2">
      <c r="B123" s="44"/>
    </row>
    <row r="124" spans="2:2" ht="14.25" customHeight="1" x14ac:dyDescent="0.2">
      <c r="B124" s="44"/>
    </row>
    <row r="125" spans="2:2" ht="14.25" customHeight="1" x14ac:dyDescent="0.2">
      <c r="B125" s="44"/>
    </row>
    <row r="126" spans="2:2" ht="14.25" customHeight="1" x14ac:dyDescent="0.2">
      <c r="B126" s="44"/>
    </row>
    <row r="127" spans="2:2" ht="14.25" customHeight="1" x14ac:dyDescent="0.2">
      <c r="B127" s="44"/>
    </row>
    <row r="128" spans="2:2" ht="14.25" customHeight="1" x14ac:dyDescent="0.2">
      <c r="B128" s="44"/>
    </row>
    <row r="129" spans="2:2" ht="14.25" customHeight="1" x14ac:dyDescent="0.2">
      <c r="B129" s="44"/>
    </row>
    <row r="130" spans="2:2" ht="14.25" customHeight="1" x14ac:dyDescent="0.2">
      <c r="B130" s="44"/>
    </row>
    <row r="131" spans="2:2" ht="14.25" customHeight="1" x14ac:dyDescent="0.2">
      <c r="B131" s="44"/>
    </row>
    <row r="132" spans="2:2" ht="14.25" customHeight="1" x14ac:dyDescent="0.2">
      <c r="B132" s="44"/>
    </row>
    <row r="133" spans="2:2" ht="14.25" customHeight="1" x14ac:dyDescent="0.2">
      <c r="B133" s="44"/>
    </row>
    <row r="134" spans="2:2" ht="14.25" customHeight="1" x14ac:dyDescent="0.2">
      <c r="B134" s="44"/>
    </row>
    <row r="135" spans="2:2" ht="14.25" customHeight="1" x14ac:dyDescent="0.2">
      <c r="B135" s="44"/>
    </row>
    <row r="136" spans="2:2" ht="14.25" customHeight="1" x14ac:dyDescent="0.2">
      <c r="B136" s="44"/>
    </row>
    <row r="137" spans="2:2" ht="14.25" customHeight="1" x14ac:dyDescent="0.2">
      <c r="B137" s="44"/>
    </row>
    <row r="138" spans="2:2" ht="14.25" customHeight="1" x14ac:dyDescent="0.2">
      <c r="B138" s="44"/>
    </row>
    <row r="139" spans="2:2" ht="14.25" customHeight="1" x14ac:dyDescent="0.2">
      <c r="B139" s="44"/>
    </row>
    <row r="140" spans="2:2" ht="14.25" customHeight="1" x14ac:dyDescent="0.2">
      <c r="B140" s="44"/>
    </row>
    <row r="141" spans="2:2" ht="14.25" customHeight="1" x14ac:dyDescent="0.2">
      <c r="B141" s="44"/>
    </row>
    <row r="142" spans="2:2" ht="14.25" customHeight="1" x14ac:dyDescent="0.2">
      <c r="B142" s="44"/>
    </row>
    <row r="143" spans="2:2" ht="14.25" customHeight="1" x14ac:dyDescent="0.2">
      <c r="B143" s="44"/>
    </row>
    <row r="144" spans="2:2" ht="14.25" customHeight="1" x14ac:dyDescent="0.2">
      <c r="B144" s="44"/>
    </row>
    <row r="145" spans="2:2" ht="14.25" customHeight="1" x14ac:dyDescent="0.2">
      <c r="B145" s="44"/>
    </row>
    <row r="146" spans="2:2" ht="14.25" customHeight="1" x14ac:dyDescent="0.2">
      <c r="B146" s="44"/>
    </row>
    <row r="147" spans="2:2" ht="14.25" customHeight="1" x14ac:dyDescent="0.2">
      <c r="B147" s="44"/>
    </row>
    <row r="148" spans="2:2" ht="14.25" customHeight="1" x14ac:dyDescent="0.2">
      <c r="B148" s="44"/>
    </row>
    <row r="149" spans="2:2" ht="14.25" customHeight="1" x14ac:dyDescent="0.2">
      <c r="B149" s="44"/>
    </row>
    <row r="150" spans="2:2" ht="14.25" customHeight="1" x14ac:dyDescent="0.2">
      <c r="B150" s="44"/>
    </row>
    <row r="151" spans="2:2" ht="14.25" customHeight="1" x14ac:dyDescent="0.2">
      <c r="B151" s="44"/>
    </row>
    <row r="152" spans="2:2" ht="14.25" customHeight="1" x14ac:dyDescent="0.2">
      <c r="B152" s="44"/>
    </row>
    <row r="153" spans="2:2" ht="14.25" customHeight="1" x14ac:dyDescent="0.2">
      <c r="B153" s="44"/>
    </row>
    <row r="154" spans="2:2" ht="14.25" customHeight="1" x14ac:dyDescent="0.2">
      <c r="B154" s="44"/>
    </row>
    <row r="155" spans="2:2" ht="14.25" customHeight="1" x14ac:dyDescent="0.2">
      <c r="B155" s="44"/>
    </row>
    <row r="156" spans="2:2" ht="14.25" customHeight="1" x14ac:dyDescent="0.2">
      <c r="B156" s="44"/>
    </row>
    <row r="157" spans="2:2" ht="14.25" customHeight="1" x14ac:dyDescent="0.2">
      <c r="B157" s="44"/>
    </row>
    <row r="158" spans="2:2" ht="14.25" customHeight="1" x14ac:dyDescent="0.2">
      <c r="B158" s="44"/>
    </row>
    <row r="159" spans="2:2" ht="14.25" customHeight="1" x14ac:dyDescent="0.2">
      <c r="B159" s="44"/>
    </row>
    <row r="160" spans="2:2" ht="14.25" customHeight="1" x14ac:dyDescent="0.2">
      <c r="B160" s="44"/>
    </row>
    <row r="161" spans="2:2" ht="14.25" customHeight="1" x14ac:dyDescent="0.2">
      <c r="B161" s="44"/>
    </row>
    <row r="162" spans="2:2" ht="14.25" customHeight="1" x14ac:dyDescent="0.2">
      <c r="B162" s="44"/>
    </row>
    <row r="163" spans="2:2" ht="14.25" customHeight="1" x14ac:dyDescent="0.2">
      <c r="B163" s="44"/>
    </row>
    <row r="164" spans="2:2" ht="14.25" customHeight="1" x14ac:dyDescent="0.2">
      <c r="B164" s="44"/>
    </row>
    <row r="165" spans="2:2" ht="14.25" customHeight="1" x14ac:dyDescent="0.2">
      <c r="B165" s="44"/>
    </row>
    <row r="166" spans="2:2" ht="14.25" customHeight="1" x14ac:dyDescent="0.2">
      <c r="B166" s="44"/>
    </row>
    <row r="167" spans="2:2" ht="14.25" customHeight="1" x14ac:dyDescent="0.2">
      <c r="B167" s="44"/>
    </row>
    <row r="168" spans="2:2" ht="14.25" customHeight="1" x14ac:dyDescent="0.2">
      <c r="B168" s="44"/>
    </row>
    <row r="169" spans="2:2" ht="14.25" customHeight="1" x14ac:dyDescent="0.2">
      <c r="B169" s="44"/>
    </row>
    <row r="170" spans="2:2" ht="14.25" customHeight="1" x14ac:dyDescent="0.2">
      <c r="B170" s="44"/>
    </row>
    <row r="171" spans="2:2" ht="14.25" customHeight="1" x14ac:dyDescent="0.2">
      <c r="B171" s="44"/>
    </row>
    <row r="172" spans="2:2" ht="14.25" customHeight="1" x14ac:dyDescent="0.2">
      <c r="B172" s="44"/>
    </row>
    <row r="173" spans="2:2" ht="14.25" customHeight="1" x14ac:dyDescent="0.2">
      <c r="B173" s="44"/>
    </row>
    <row r="174" spans="2:2" ht="14.25" customHeight="1" x14ac:dyDescent="0.2">
      <c r="B174" s="44"/>
    </row>
    <row r="175" spans="2:2" ht="14.25" customHeight="1" x14ac:dyDescent="0.2">
      <c r="B175" s="44"/>
    </row>
    <row r="176" spans="2:2" ht="14.25" customHeight="1" x14ac:dyDescent="0.2">
      <c r="B176" s="44"/>
    </row>
    <row r="177" spans="2:2" ht="14.25" customHeight="1" x14ac:dyDescent="0.2">
      <c r="B177" s="44"/>
    </row>
    <row r="178" spans="2:2" ht="14.25" customHeight="1" x14ac:dyDescent="0.2">
      <c r="B178" s="44"/>
    </row>
    <row r="179" spans="2:2" ht="14.25" customHeight="1" x14ac:dyDescent="0.2">
      <c r="B179" s="44"/>
    </row>
    <row r="180" spans="2:2" ht="14.25" customHeight="1" x14ac:dyDescent="0.2">
      <c r="B180" s="44"/>
    </row>
    <row r="181" spans="2:2" ht="14.25" customHeight="1" x14ac:dyDescent="0.2">
      <c r="B181" s="44"/>
    </row>
    <row r="182" spans="2:2" ht="14.25" customHeight="1" x14ac:dyDescent="0.2">
      <c r="B182" s="44"/>
    </row>
    <row r="183" spans="2:2" ht="14.25" customHeight="1" x14ac:dyDescent="0.2">
      <c r="B183" s="44"/>
    </row>
    <row r="184" spans="2:2" ht="14.25" customHeight="1" x14ac:dyDescent="0.2">
      <c r="B184" s="44"/>
    </row>
    <row r="185" spans="2:2" ht="14.25" customHeight="1" x14ac:dyDescent="0.2">
      <c r="B185" s="44"/>
    </row>
    <row r="186" spans="2:2" ht="14.25" customHeight="1" x14ac:dyDescent="0.2">
      <c r="B186" s="44"/>
    </row>
    <row r="187" spans="2:2" ht="14.25" customHeight="1" x14ac:dyDescent="0.2">
      <c r="B187" s="44"/>
    </row>
    <row r="188" spans="2:2" ht="14.25" customHeight="1" x14ac:dyDescent="0.2">
      <c r="B188" s="44"/>
    </row>
    <row r="189" spans="2:2" ht="14.25" customHeight="1" x14ac:dyDescent="0.2">
      <c r="B189" s="44"/>
    </row>
    <row r="190" spans="2:2" ht="14.25" customHeight="1" x14ac:dyDescent="0.2">
      <c r="B190" s="44"/>
    </row>
    <row r="191" spans="2:2" ht="14.25" customHeight="1" x14ac:dyDescent="0.2">
      <c r="B191" s="44"/>
    </row>
    <row r="192" spans="2:2" ht="14.25" customHeight="1" x14ac:dyDescent="0.2">
      <c r="B192" s="44"/>
    </row>
    <row r="193" spans="2:2" ht="14.25" customHeight="1" x14ac:dyDescent="0.2">
      <c r="B193" s="44"/>
    </row>
    <row r="194" spans="2:2" ht="14.25" customHeight="1" x14ac:dyDescent="0.2">
      <c r="B194" s="44"/>
    </row>
    <row r="195" spans="2:2" ht="14.25" customHeight="1" x14ac:dyDescent="0.2">
      <c r="B195" s="44"/>
    </row>
    <row r="196" spans="2:2" ht="14.25" customHeight="1" x14ac:dyDescent="0.2">
      <c r="B196" s="44"/>
    </row>
    <row r="197" spans="2:2" ht="14.25" customHeight="1" x14ac:dyDescent="0.2">
      <c r="B197" s="44"/>
    </row>
    <row r="198" spans="2:2" ht="14.25" customHeight="1" x14ac:dyDescent="0.2">
      <c r="B198" s="44"/>
    </row>
    <row r="199" spans="2:2" ht="14.25" customHeight="1" x14ac:dyDescent="0.2">
      <c r="B199" s="44"/>
    </row>
    <row r="200" spans="2:2" ht="14.25" customHeight="1" x14ac:dyDescent="0.2">
      <c r="B200" s="44"/>
    </row>
    <row r="201" spans="2:2" ht="14.25" customHeight="1" x14ac:dyDescent="0.2">
      <c r="B201" s="44"/>
    </row>
    <row r="202" spans="2:2" ht="14.25" customHeight="1" x14ac:dyDescent="0.2">
      <c r="B202" s="44"/>
    </row>
    <row r="203" spans="2:2" ht="14.25" customHeight="1" x14ac:dyDescent="0.2">
      <c r="B203" s="44"/>
    </row>
    <row r="204" spans="2:2" ht="14.25" customHeight="1" x14ac:dyDescent="0.2">
      <c r="B204" s="44"/>
    </row>
    <row r="205" spans="2:2" ht="14.25" customHeight="1" x14ac:dyDescent="0.2">
      <c r="B205" s="44"/>
    </row>
    <row r="206" spans="2:2" ht="14.25" customHeight="1" x14ac:dyDescent="0.2">
      <c r="B206" s="44"/>
    </row>
    <row r="207" spans="2:2" ht="14.25" customHeight="1" x14ac:dyDescent="0.2">
      <c r="B207" s="44"/>
    </row>
    <row r="208" spans="2:2" ht="14.25" customHeight="1" x14ac:dyDescent="0.2">
      <c r="B208" s="44"/>
    </row>
    <row r="209" spans="2:2" ht="14.25" customHeight="1" x14ac:dyDescent="0.2">
      <c r="B209" s="44"/>
    </row>
    <row r="210" spans="2:2" ht="14.25" customHeight="1" x14ac:dyDescent="0.2">
      <c r="B210" s="44"/>
    </row>
    <row r="211" spans="2:2" ht="14.25" customHeight="1" x14ac:dyDescent="0.2">
      <c r="B211" s="44"/>
    </row>
    <row r="212" spans="2:2" ht="14.25" customHeight="1" x14ac:dyDescent="0.2">
      <c r="B212" s="44"/>
    </row>
    <row r="213" spans="2:2" ht="14.25" customHeight="1" x14ac:dyDescent="0.2">
      <c r="B213" s="44"/>
    </row>
    <row r="214" spans="2:2" ht="14.25" customHeight="1" x14ac:dyDescent="0.2">
      <c r="B214" s="44"/>
    </row>
    <row r="215" spans="2:2" ht="14.25" customHeight="1" x14ac:dyDescent="0.2">
      <c r="B215" s="44"/>
    </row>
    <row r="216" spans="2:2" ht="14.25" customHeight="1" x14ac:dyDescent="0.2">
      <c r="B216" s="44"/>
    </row>
    <row r="217" spans="2:2" ht="14.25" customHeight="1" x14ac:dyDescent="0.2">
      <c r="B217" s="44"/>
    </row>
    <row r="218" spans="2:2" ht="14.25" customHeight="1" x14ac:dyDescent="0.2">
      <c r="B218" s="44"/>
    </row>
    <row r="219" spans="2:2" ht="14.25" customHeight="1" x14ac:dyDescent="0.2">
      <c r="B219" s="44"/>
    </row>
    <row r="220" spans="2:2" ht="14.25" customHeight="1" x14ac:dyDescent="0.2">
      <c r="B220" s="44"/>
    </row>
    <row r="221" spans="2:2" ht="14.25" customHeight="1" x14ac:dyDescent="0.2">
      <c r="B221" s="44"/>
    </row>
    <row r="222" spans="2:2" ht="14.25" customHeight="1" x14ac:dyDescent="0.2">
      <c r="B222" s="44"/>
    </row>
    <row r="223" spans="2:2" ht="14.25" customHeight="1" x14ac:dyDescent="0.2">
      <c r="B223" s="44"/>
    </row>
    <row r="224" spans="2:2" ht="14.25" customHeight="1" x14ac:dyDescent="0.2">
      <c r="B224" s="44"/>
    </row>
    <row r="225" spans="2:2" ht="14.25" customHeight="1" x14ac:dyDescent="0.2">
      <c r="B225" s="44"/>
    </row>
    <row r="226" spans="2:2" ht="14.25" customHeight="1" x14ac:dyDescent="0.2">
      <c r="B226" s="44"/>
    </row>
    <row r="227" spans="2:2" ht="14.25" customHeight="1" x14ac:dyDescent="0.2">
      <c r="B227" s="44"/>
    </row>
    <row r="228" spans="2:2" ht="14.25" customHeight="1" x14ac:dyDescent="0.2">
      <c r="B228" s="44"/>
    </row>
    <row r="229" spans="2:2" ht="14.25" customHeight="1" x14ac:dyDescent="0.2">
      <c r="B229" s="44"/>
    </row>
    <row r="230" spans="2:2" ht="14.25" customHeight="1" x14ac:dyDescent="0.2">
      <c r="B230" s="44"/>
    </row>
    <row r="231" spans="2:2" ht="14.25" customHeight="1" x14ac:dyDescent="0.2">
      <c r="B231" s="44"/>
    </row>
    <row r="232" spans="2:2" ht="14.25" customHeight="1" x14ac:dyDescent="0.2">
      <c r="B232" s="44"/>
    </row>
    <row r="233" spans="2:2" ht="14.25" customHeight="1" x14ac:dyDescent="0.2">
      <c r="B233" s="44"/>
    </row>
    <row r="234" spans="2:2" ht="14.25" customHeight="1" x14ac:dyDescent="0.2">
      <c r="B234" s="44"/>
    </row>
    <row r="235" spans="2:2" ht="14.25" customHeight="1" x14ac:dyDescent="0.2">
      <c r="B235" s="44"/>
    </row>
    <row r="236" spans="2:2" ht="14.25" customHeight="1" x14ac:dyDescent="0.2">
      <c r="B236" s="44"/>
    </row>
    <row r="237" spans="2:2" ht="14.25" customHeight="1" x14ac:dyDescent="0.2">
      <c r="B237" s="44"/>
    </row>
    <row r="238" spans="2:2" ht="14.25" customHeight="1" x14ac:dyDescent="0.2">
      <c r="B238" s="44"/>
    </row>
    <row r="239" spans="2:2" ht="14.25" customHeight="1" x14ac:dyDescent="0.2">
      <c r="B239" s="44"/>
    </row>
    <row r="240" spans="2:2" ht="14.25" customHeight="1" x14ac:dyDescent="0.2">
      <c r="B240" s="44"/>
    </row>
    <row r="241" spans="2:2" ht="14.25" customHeight="1" x14ac:dyDescent="0.2">
      <c r="B241" s="44"/>
    </row>
    <row r="242" spans="2:2" ht="14.25" customHeight="1" x14ac:dyDescent="0.2">
      <c r="B242" s="44"/>
    </row>
    <row r="243" spans="2:2" ht="14.25" customHeight="1" x14ac:dyDescent="0.2">
      <c r="B243" s="44"/>
    </row>
    <row r="244" spans="2:2" ht="14.25" customHeight="1" x14ac:dyDescent="0.2">
      <c r="B244" s="44"/>
    </row>
    <row r="245" spans="2:2" ht="14.25" customHeight="1" x14ac:dyDescent="0.2">
      <c r="B245" s="44"/>
    </row>
    <row r="246" spans="2:2" ht="14.25" customHeight="1" x14ac:dyDescent="0.2">
      <c r="B246" s="44"/>
    </row>
    <row r="247" spans="2:2" ht="14.25" customHeight="1" x14ac:dyDescent="0.2">
      <c r="B247" s="44"/>
    </row>
    <row r="248" spans="2:2" ht="14.25" customHeight="1" x14ac:dyDescent="0.2">
      <c r="B248" s="44"/>
    </row>
    <row r="249" spans="2:2" ht="14.25" customHeight="1" x14ac:dyDescent="0.2">
      <c r="B249" s="44"/>
    </row>
    <row r="250" spans="2:2" ht="14.25" customHeight="1" x14ac:dyDescent="0.2">
      <c r="B250" s="44"/>
    </row>
    <row r="251" spans="2:2" ht="14.25" customHeight="1" x14ac:dyDescent="0.2">
      <c r="B251" s="44"/>
    </row>
    <row r="252" spans="2:2" ht="14.25" customHeight="1" x14ac:dyDescent="0.2">
      <c r="B252" s="44"/>
    </row>
    <row r="253" spans="2:2" ht="14.25" customHeight="1" x14ac:dyDescent="0.2">
      <c r="B253" s="44"/>
    </row>
    <row r="254" spans="2:2" ht="14.25" customHeight="1" x14ac:dyDescent="0.2">
      <c r="B254" s="44"/>
    </row>
    <row r="255" spans="2:2" ht="14.25" customHeight="1" x14ac:dyDescent="0.2">
      <c r="B255" s="44"/>
    </row>
    <row r="256" spans="2:2" ht="14.25" customHeight="1" x14ac:dyDescent="0.2">
      <c r="B256" s="44"/>
    </row>
    <row r="257" spans="2:2" ht="14.25" customHeight="1" x14ac:dyDescent="0.2">
      <c r="B257" s="44"/>
    </row>
    <row r="258" spans="2:2" ht="14.25" customHeight="1" x14ac:dyDescent="0.2">
      <c r="B258" s="44"/>
    </row>
    <row r="259" spans="2:2" ht="14.25" customHeight="1" x14ac:dyDescent="0.2">
      <c r="B259" s="44"/>
    </row>
    <row r="260" spans="2:2" ht="14.25" customHeight="1" x14ac:dyDescent="0.2">
      <c r="B260" s="44"/>
    </row>
    <row r="261" spans="2:2" ht="14.25" customHeight="1" x14ac:dyDescent="0.2">
      <c r="B261" s="44"/>
    </row>
    <row r="262" spans="2:2" ht="14.25" customHeight="1" x14ac:dyDescent="0.2">
      <c r="B262" s="44"/>
    </row>
    <row r="263" spans="2:2" ht="14.25" customHeight="1" x14ac:dyDescent="0.2">
      <c r="B263" s="44"/>
    </row>
    <row r="264" spans="2:2" ht="14.25" customHeight="1" x14ac:dyDescent="0.2">
      <c r="B264" s="44"/>
    </row>
    <row r="265" spans="2:2" ht="14.25" customHeight="1" x14ac:dyDescent="0.2">
      <c r="B265" s="44"/>
    </row>
    <row r="266" spans="2:2" ht="14.25" customHeight="1" x14ac:dyDescent="0.2">
      <c r="B266" s="44"/>
    </row>
    <row r="267" spans="2:2" ht="14.25" customHeight="1" x14ac:dyDescent="0.2">
      <c r="B267" s="44"/>
    </row>
    <row r="268" spans="2:2" ht="14.25" customHeight="1" x14ac:dyDescent="0.2">
      <c r="B268" s="44"/>
    </row>
    <row r="269" spans="2:2" ht="14.25" customHeight="1" x14ac:dyDescent="0.2">
      <c r="B269" s="44"/>
    </row>
    <row r="270" spans="2:2" ht="14.25" customHeight="1" x14ac:dyDescent="0.2">
      <c r="B270" s="44"/>
    </row>
    <row r="271" spans="2:2" ht="14.25" customHeight="1" x14ac:dyDescent="0.2">
      <c r="B271" s="44"/>
    </row>
    <row r="272" spans="2:2" ht="14.25" customHeight="1" x14ac:dyDescent="0.2">
      <c r="B272" s="44"/>
    </row>
    <row r="273" spans="2:2" ht="14.25" customHeight="1" x14ac:dyDescent="0.2">
      <c r="B273" s="44"/>
    </row>
    <row r="274" spans="2:2" ht="14.25" customHeight="1" x14ac:dyDescent="0.2">
      <c r="B274" s="44"/>
    </row>
    <row r="275" spans="2:2" ht="14.25" customHeight="1" x14ac:dyDescent="0.2">
      <c r="B275" s="44"/>
    </row>
    <row r="276" spans="2:2" ht="14.25" customHeight="1" x14ac:dyDescent="0.2">
      <c r="B276" s="44"/>
    </row>
    <row r="277" spans="2:2" ht="14.25" customHeight="1" x14ac:dyDescent="0.2">
      <c r="B277" s="44"/>
    </row>
    <row r="278" spans="2:2" ht="14.25" customHeight="1" x14ac:dyDescent="0.2">
      <c r="B278" s="44"/>
    </row>
    <row r="279" spans="2:2" ht="14.25" customHeight="1" x14ac:dyDescent="0.2">
      <c r="B279" s="44"/>
    </row>
    <row r="280" spans="2:2" ht="14.25" customHeight="1" x14ac:dyDescent="0.2">
      <c r="B280" s="44"/>
    </row>
    <row r="281" spans="2:2" ht="14.25" customHeight="1" x14ac:dyDescent="0.2">
      <c r="B281" s="44"/>
    </row>
    <row r="282" spans="2:2" ht="14.25" customHeight="1" x14ac:dyDescent="0.2">
      <c r="B282" s="44"/>
    </row>
    <row r="283" spans="2:2" ht="14.25" customHeight="1" x14ac:dyDescent="0.2">
      <c r="B283" s="44"/>
    </row>
    <row r="284" spans="2:2" ht="14.25" customHeight="1" x14ac:dyDescent="0.2">
      <c r="B284" s="44"/>
    </row>
    <row r="285" spans="2:2" ht="14.25" customHeight="1" x14ac:dyDescent="0.2">
      <c r="B285" s="44"/>
    </row>
    <row r="286" spans="2:2" ht="14.25" customHeight="1" x14ac:dyDescent="0.2">
      <c r="B286" s="44"/>
    </row>
    <row r="287" spans="2:2" ht="14.25" customHeight="1" x14ac:dyDescent="0.2">
      <c r="B287" s="44"/>
    </row>
    <row r="288" spans="2:2" ht="14.25" customHeight="1" x14ac:dyDescent="0.2">
      <c r="B288" s="44"/>
    </row>
    <row r="289" spans="2:2" ht="14.25" customHeight="1" x14ac:dyDescent="0.2">
      <c r="B289" s="44"/>
    </row>
    <row r="290" spans="2:2" ht="14.25" customHeight="1" x14ac:dyDescent="0.2">
      <c r="B290" s="44"/>
    </row>
    <row r="291" spans="2:2" ht="14.25" customHeight="1" x14ac:dyDescent="0.2">
      <c r="B291" s="44"/>
    </row>
    <row r="292" spans="2:2" ht="14.25" customHeight="1" x14ac:dyDescent="0.2">
      <c r="B292" s="44"/>
    </row>
    <row r="293" spans="2:2" ht="14.25" customHeight="1" x14ac:dyDescent="0.2">
      <c r="B293" s="44"/>
    </row>
    <row r="294" spans="2:2" ht="14.25" customHeight="1" x14ac:dyDescent="0.2">
      <c r="B294" s="44"/>
    </row>
    <row r="295" spans="2:2" ht="14.25" customHeight="1" x14ac:dyDescent="0.2">
      <c r="B295" s="44"/>
    </row>
    <row r="296" spans="2:2" ht="14.25" customHeight="1" x14ac:dyDescent="0.2">
      <c r="B296" s="44"/>
    </row>
    <row r="297" spans="2:2" ht="14.25" customHeight="1" x14ac:dyDescent="0.2">
      <c r="B297" s="44"/>
    </row>
    <row r="298" spans="2:2" ht="14.25" customHeight="1" x14ac:dyDescent="0.2">
      <c r="B298" s="44"/>
    </row>
    <row r="299" spans="2:2" ht="14.25" customHeight="1" x14ac:dyDescent="0.2">
      <c r="B299" s="44"/>
    </row>
    <row r="300" spans="2:2" ht="14.25" customHeight="1" x14ac:dyDescent="0.2">
      <c r="B300" s="44"/>
    </row>
    <row r="301" spans="2:2" ht="14.25" customHeight="1" x14ac:dyDescent="0.2">
      <c r="B301" s="44"/>
    </row>
    <row r="302" spans="2:2" ht="14.25" customHeight="1" x14ac:dyDescent="0.2">
      <c r="B302" s="44"/>
    </row>
    <row r="303" spans="2:2" ht="14.25" customHeight="1" x14ac:dyDescent="0.2">
      <c r="B303" s="44"/>
    </row>
    <row r="304" spans="2:2" ht="14.25" customHeight="1" x14ac:dyDescent="0.2">
      <c r="B304" s="44"/>
    </row>
    <row r="305" spans="2:2" ht="14.25" customHeight="1" x14ac:dyDescent="0.2">
      <c r="B305" s="44"/>
    </row>
    <row r="306" spans="2:2" ht="14.25" customHeight="1" x14ac:dyDescent="0.2">
      <c r="B306" s="44"/>
    </row>
    <row r="307" spans="2:2" ht="14.25" customHeight="1" x14ac:dyDescent="0.2">
      <c r="B307" s="44"/>
    </row>
    <row r="308" spans="2:2" ht="14.25" customHeight="1" x14ac:dyDescent="0.2">
      <c r="B308" s="44"/>
    </row>
    <row r="309" spans="2:2" ht="14.25" customHeight="1" x14ac:dyDescent="0.2">
      <c r="B309" s="44"/>
    </row>
    <row r="310" spans="2:2" ht="14.25" customHeight="1" x14ac:dyDescent="0.2">
      <c r="B310" s="44"/>
    </row>
    <row r="311" spans="2:2" ht="14.25" customHeight="1" x14ac:dyDescent="0.2">
      <c r="B311" s="44"/>
    </row>
    <row r="312" spans="2:2" ht="14.25" customHeight="1" x14ac:dyDescent="0.2">
      <c r="B312" s="44"/>
    </row>
    <row r="313" spans="2:2" ht="14.25" customHeight="1" x14ac:dyDescent="0.2">
      <c r="B313" s="44"/>
    </row>
    <row r="314" spans="2:2" ht="14.25" customHeight="1" x14ac:dyDescent="0.2">
      <c r="B314" s="44"/>
    </row>
    <row r="315" spans="2:2" ht="14.25" customHeight="1" x14ac:dyDescent="0.2">
      <c r="B315" s="44"/>
    </row>
    <row r="316" spans="2:2" ht="14.25" customHeight="1" x14ac:dyDescent="0.2">
      <c r="B316" s="44"/>
    </row>
    <row r="317" spans="2:2" ht="14.25" customHeight="1" x14ac:dyDescent="0.2">
      <c r="B317" s="44"/>
    </row>
    <row r="318" spans="2:2" ht="14.25" customHeight="1" x14ac:dyDescent="0.2">
      <c r="B318" s="44"/>
    </row>
    <row r="319" spans="2:2" ht="14.25" customHeight="1" x14ac:dyDescent="0.2">
      <c r="B319" s="44"/>
    </row>
    <row r="320" spans="2:2" ht="14.25" customHeight="1" x14ac:dyDescent="0.2">
      <c r="B320" s="44"/>
    </row>
    <row r="321" spans="2:2" ht="14.25" customHeight="1" x14ac:dyDescent="0.2">
      <c r="B321" s="44"/>
    </row>
    <row r="322" spans="2:2" ht="14.25" customHeight="1" x14ac:dyDescent="0.2">
      <c r="B322" s="44"/>
    </row>
    <row r="323" spans="2:2" ht="14.25" customHeight="1" x14ac:dyDescent="0.2">
      <c r="B323" s="44"/>
    </row>
    <row r="324" spans="2:2" ht="14.25" customHeight="1" x14ac:dyDescent="0.2">
      <c r="B324" s="44"/>
    </row>
    <row r="325" spans="2:2" ht="14.25" customHeight="1" x14ac:dyDescent="0.2">
      <c r="B325" s="44"/>
    </row>
    <row r="326" spans="2:2" ht="14.25" customHeight="1" x14ac:dyDescent="0.2">
      <c r="B326" s="44"/>
    </row>
    <row r="327" spans="2:2" ht="14.25" customHeight="1" x14ac:dyDescent="0.2">
      <c r="B327" s="44"/>
    </row>
    <row r="328" spans="2:2" ht="14.25" customHeight="1" x14ac:dyDescent="0.2">
      <c r="B328" s="44"/>
    </row>
    <row r="329" spans="2:2" ht="14.25" customHeight="1" x14ac:dyDescent="0.2">
      <c r="B329" s="44"/>
    </row>
    <row r="330" spans="2:2" ht="14.25" customHeight="1" x14ac:dyDescent="0.2">
      <c r="B330" s="44"/>
    </row>
    <row r="331" spans="2:2" ht="14.25" customHeight="1" x14ac:dyDescent="0.2">
      <c r="B331" s="44"/>
    </row>
    <row r="332" spans="2:2" ht="14.25" customHeight="1" x14ac:dyDescent="0.2">
      <c r="B332" s="44"/>
    </row>
    <row r="333" spans="2:2" ht="14.25" customHeight="1" x14ac:dyDescent="0.2">
      <c r="B333" s="44"/>
    </row>
    <row r="334" spans="2:2" ht="14.25" customHeight="1" x14ac:dyDescent="0.2">
      <c r="B334" s="44"/>
    </row>
    <row r="335" spans="2:2" ht="14.25" customHeight="1" x14ac:dyDescent="0.2">
      <c r="B335" s="44"/>
    </row>
    <row r="336" spans="2:2" ht="14.25" customHeight="1" x14ac:dyDescent="0.2">
      <c r="B336" s="44"/>
    </row>
    <row r="337" spans="2:2" ht="14.25" customHeight="1" x14ac:dyDescent="0.2">
      <c r="B337" s="44"/>
    </row>
    <row r="338" spans="2:2" ht="14.25" customHeight="1" x14ac:dyDescent="0.2">
      <c r="B338" s="44"/>
    </row>
    <row r="339" spans="2:2" ht="14.25" customHeight="1" x14ac:dyDescent="0.2">
      <c r="B339" s="44"/>
    </row>
    <row r="340" spans="2:2" ht="14.25" customHeight="1" x14ac:dyDescent="0.2">
      <c r="B340" s="44"/>
    </row>
    <row r="341" spans="2:2" ht="14.25" customHeight="1" x14ac:dyDescent="0.2">
      <c r="B341" s="44"/>
    </row>
    <row r="342" spans="2:2" ht="14.25" customHeight="1" x14ac:dyDescent="0.2">
      <c r="B342" s="44"/>
    </row>
    <row r="343" spans="2:2" ht="14.25" customHeight="1" x14ac:dyDescent="0.2">
      <c r="B343" s="44"/>
    </row>
    <row r="344" spans="2:2" ht="14.25" customHeight="1" x14ac:dyDescent="0.2">
      <c r="B344" s="44"/>
    </row>
    <row r="345" spans="2:2" ht="14.25" customHeight="1" x14ac:dyDescent="0.2">
      <c r="B345" s="44"/>
    </row>
    <row r="346" spans="2:2" ht="14.25" customHeight="1" x14ac:dyDescent="0.2">
      <c r="B346" s="44"/>
    </row>
    <row r="347" spans="2:2" ht="14.25" customHeight="1" x14ac:dyDescent="0.2">
      <c r="B347" s="44"/>
    </row>
    <row r="348" spans="2:2" ht="14.25" customHeight="1" x14ac:dyDescent="0.2">
      <c r="B348" s="44"/>
    </row>
    <row r="349" spans="2:2" ht="14.25" customHeight="1" x14ac:dyDescent="0.2">
      <c r="B349" s="44"/>
    </row>
    <row r="350" spans="2:2" ht="14.25" customHeight="1" x14ac:dyDescent="0.2">
      <c r="B350" s="44"/>
    </row>
    <row r="351" spans="2:2" ht="14.25" customHeight="1" x14ac:dyDescent="0.2">
      <c r="B351" s="44"/>
    </row>
    <row r="352" spans="2:2" ht="14.25" customHeight="1" x14ac:dyDescent="0.2">
      <c r="B352" s="44"/>
    </row>
    <row r="353" spans="2:2" ht="14.25" customHeight="1" x14ac:dyDescent="0.2">
      <c r="B353" s="44"/>
    </row>
    <row r="354" spans="2:2" ht="14.25" customHeight="1" x14ac:dyDescent="0.2">
      <c r="B354" s="44"/>
    </row>
    <row r="355" spans="2:2" ht="14.25" customHeight="1" x14ac:dyDescent="0.2">
      <c r="B355" s="44"/>
    </row>
    <row r="356" spans="2:2" ht="14.25" customHeight="1" x14ac:dyDescent="0.2">
      <c r="B356" s="44"/>
    </row>
    <row r="357" spans="2:2" ht="14.25" customHeight="1" x14ac:dyDescent="0.2">
      <c r="B357" s="44"/>
    </row>
    <row r="358" spans="2:2" ht="14.25" customHeight="1" x14ac:dyDescent="0.2">
      <c r="B358" s="44"/>
    </row>
    <row r="359" spans="2:2" ht="14.25" customHeight="1" x14ac:dyDescent="0.2">
      <c r="B359" s="44"/>
    </row>
    <row r="360" spans="2:2" ht="14.25" customHeight="1" x14ac:dyDescent="0.2">
      <c r="B360" s="44"/>
    </row>
    <row r="361" spans="2:2" ht="14.25" customHeight="1" x14ac:dyDescent="0.2">
      <c r="B361" s="44"/>
    </row>
    <row r="362" spans="2:2" ht="14.25" customHeight="1" x14ac:dyDescent="0.2">
      <c r="B362" s="44"/>
    </row>
    <row r="363" spans="2:2" ht="14.25" customHeight="1" x14ac:dyDescent="0.2">
      <c r="B363" s="44"/>
    </row>
    <row r="364" spans="2:2" ht="14.25" customHeight="1" x14ac:dyDescent="0.2">
      <c r="B364" s="44"/>
    </row>
    <row r="365" spans="2:2" ht="14.25" customHeight="1" x14ac:dyDescent="0.2">
      <c r="B365" s="44"/>
    </row>
    <row r="366" spans="2:2" ht="14.25" customHeight="1" x14ac:dyDescent="0.2">
      <c r="B366" s="44"/>
    </row>
    <row r="367" spans="2:2" ht="14.25" customHeight="1" x14ac:dyDescent="0.2">
      <c r="B367" s="44"/>
    </row>
    <row r="368" spans="2:2" ht="14.25" customHeight="1" x14ac:dyDescent="0.2">
      <c r="B368" s="44"/>
    </row>
    <row r="369" spans="2:2" ht="14.25" customHeight="1" x14ac:dyDescent="0.2">
      <c r="B369" s="44"/>
    </row>
    <row r="370" spans="2:2" ht="14.25" customHeight="1" x14ac:dyDescent="0.2">
      <c r="B370" s="44"/>
    </row>
    <row r="371" spans="2:2" ht="14.25" customHeight="1" x14ac:dyDescent="0.2">
      <c r="B371" s="44"/>
    </row>
    <row r="372" spans="2:2" ht="14.25" customHeight="1" x14ac:dyDescent="0.2">
      <c r="B372" s="44"/>
    </row>
    <row r="373" spans="2:2" ht="14.25" customHeight="1" x14ac:dyDescent="0.2">
      <c r="B373" s="44"/>
    </row>
    <row r="374" spans="2:2" ht="14.25" customHeight="1" x14ac:dyDescent="0.2">
      <c r="B374" s="44"/>
    </row>
    <row r="375" spans="2:2" ht="14.25" customHeight="1" x14ac:dyDescent="0.2">
      <c r="B375" s="44"/>
    </row>
    <row r="376" spans="2:2" ht="14.25" customHeight="1" x14ac:dyDescent="0.2">
      <c r="B376" s="44"/>
    </row>
    <row r="377" spans="2:2" ht="14.25" customHeight="1" x14ac:dyDescent="0.2">
      <c r="B377" s="44"/>
    </row>
    <row r="378" spans="2:2" ht="14.25" customHeight="1" x14ac:dyDescent="0.2">
      <c r="B378" s="44"/>
    </row>
    <row r="379" spans="2:2" ht="14.25" customHeight="1" x14ac:dyDescent="0.2">
      <c r="B379" s="44"/>
    </row>
    <row r="380" spans="2:2" ht="14.25" customHeight="1" x14ac:dyDescent="0.2">
      <c r="B380" s="44"/>
    </row>
    <row r="381" spans="2:2" ht="14.25" customHeight="1" x14ac:dyDescent="0.2">
      <c r="B381" s="44"/>
    </row>
    <row r="382" spans="2:2" ht="14.25" customHeight="1" x14ac:dyDescent="0.2">
      <c r="B382" s="44"/>
    </row>
    <row r="383" spans="2:2" ht="14.25" customHeight="1" x14ac:dyDescent="0.2">
      <c r="B383" s="44"/>
    </row>
    <row r="384" spans="2:2" ht="14.25" customHeight="1" x14ac:dyDescent="0.2">
      <c r="B384" s="44"/>
    </row>
    <row r="385" spans="2:2" ht="14.25" customHeight="1" x14ac:dyDescent="0.2">
      <c r="B385" s="44"/>
    </row>
    <row r="386" spans="2:2" ht="14.25" customHeight="1" x14ac:dyDescent="0.2">
      <c r="B386" s="44"/>
    </row>
    <row r="387" spans="2:2" ht="14.25" customHeight="1" x14ac:dyDescent="0.2">
      <c r="B387" s="44"/>
    </row>
    <row r="388" spans="2:2" ht="14.25" customHeight="1" x14ac:dyDescent="0.2">
      <c r="B388" s="44"/>
    </row>
    <row r="389" spans="2:2" ht="14.25" customHeight="1" x14ac:dyDescent="0.2">
      <c r="B389" s="44"/>
    </row>
    <row r="390" spans="2:2" ht="14.25" customHeight="1" x14ac:dyDescent="0.2">
      <c r="B390" s="44"/>
    </row>
    <row r="391" spans="2:2" ht="14.25" customHeight="1" x14ac:dyDescent="0.2">
      <c r="B391" s="44"/>
    </row>
    <row r="392" spans="2:2" ht="14.25" customHeight="1" x14ac:dyDescent="0.2">
      <c r="B392" s="44"/>
    </row>
    <row r="393" spans="2:2" ht="14.25" customHeight="1" x14ac:dyDescent="0.2">
      <c r="B393" s="44"/>
    </row>
    <row r="394" spans="2:2" ht="14.25" customHeight="1" x14ac:dyDescent="0.2">
      <c r="B394" s="44"/>
    </row>
    <row r="395" spans="2:2" ht="14.25" customHeight="1" x14ac:dyDescent="0.2">
      <c r="B395" s="44"/>
    </row>
    <row r="396" spans="2:2" ht="14.25" customHeight="1" x14ac:dyDescent="0.2">
      <c r="B396" s="44"/>
    </row>
    <row r="397" spans="2:2" ht="14.25" customHeight="1" x14ac:dyDescent="0.2">
      <c r="B397" s="44"/>
    </row>
    <row r="398" spans="2:2" ht="14.25" customHeight="1" x14ac:dyDescent="0.2">
      <c r="B398" s="44"/>
    </row>
    <row r="399" spans="2:2" ht="14.25" customHeight="1" x14ac:dyDescent="0.2">
      <c r="B399" s="44"/>
    </row>
    <row r="400" spans="2:2" ht="14.25" customHeight="1" x14ac:dyDescent="0.2">
      <c r="B400" s="44"/>
    </row>
    <row r="401" spans="2:2" ht="14.25" customHeight="1" x14ac:dyDescent="0.2">
      <c r="B401" s="44"/>
    </row>
    <row r="402" spans="2:2" ht="14.25" customHeight="1" x14ac:dyDescent="0.2">
      <c r="B402" s="44"/>
    </row>
    <row r="403" spans="2:2" ht="14.25" customHeight="1" x14ac:dyDescent="0.2">
      <c r="B403" s="44"/>
    </row>
    <row r="404" spans="2:2" ht="14.25" customHeight="1" x14ac:dyDescent="0.2">
      <c r="B404" s="44"/>
    </row>
    <row r="405" spans="2:2" ht="14.25" customHeight="1" x14ac:dyDescent="0.2">
      <c r="B405" s="44"/>
    </row>
    <row r="406" spans="2:2" ht="14.25" customHeight="1" x14ac:dyDescent="0.2">
      <c r="B406" s="44"/>
    </row>
    <row r="407" spans="2:2" ht="14.25" customHeight="1" x14ac:dyDescent="0.2">
      <c r="B407" s="44"/>
    </row>
    <row r="408" spans="2:2" ht="14.25" customHeight="1" x14ac:dyDescent="0.2">
      <c r="B408" s="44"/>
    </row>
    <row r="409" spans="2:2" ht="14.25" customHeight="1" x14ac:dyDescent="0.2">
      <c r="B409" s="44"/>
    </row>
    <row r="410" spans="2:2" ht="14.25" customHeight="1" x14ac:dyDescent="0.2">
      <c r="B410" s="44"/>
    </row>
    <row r="411" spans="2:2" ht="14.25" customHeight="1" x14ac:dyDescent="0.2">
      <c r="B411" s="44"/>
    </row>
    <row r="412" spans="2:2" ht="14.25" customHeight="1" x14ac:dyDescent="0.2">
      <c r="B412" s="44"/>
    </row>
    <row r="413" spans="2:2" ht="14.25" customHeight="1" x14ac:dyDescent="0.2">
      <c r="B413" s="44"/>
    </row>
    <row r="414" spans="2:2" ht="14.25" customHeight="1" x14ac:dyDescent="0.2">
      <c r="B414" s="44"/>
    </row>
    <row r="415" spans="2:2" ht="14.25" customHeight="1" x14ac:dyDescent="0.2">
      <c r="B415" s="44"/>
    </row>
    <row r="416" spans="2:2" ht="14.25" customHeight="1" x14ac:dyDescent="0.2">
      <c r="B416" s="44"/>
    </row>
    <row r="417" spans="2:2" ht="14.25" customHeight="1" x14ac:dyDescent="0.2">
      <c r="B417" s="44"/>
    </row>
    <row r="418" spans="2:2" ht="14.25" customHeight="1" x14ac:dyDescent="0.2">
      <c r="B418" s="44"/>
    </row>
    <row r="419" spans="2:2" ht="14.25" customHeight="1" x14ac:dyDescent="0.2">
      <c r="B419" s="44"/>
    </row>
    <row r="420" spans="2:2" ht="14.25" customHeight="1" x14ac:dyDescent="0.2">
      <c r="B420" s="44"/>
    </row>
    <row r="421" spans="2:2" ht="14.25" customHeight="1" x14ac:dyDescent="0.2">
      <c r="B421" s="44"/>
    </row>
    <row r="422" spans="2:2" ht="14.25" customHeight="1" x14ac:dyDescent="0.2">
      <c r="B422" s="44"/>
    </row>
    <row r="423" spans="2:2" ht="14.25" customHeight="1" x14ac:dyDescent="0.2">
      <c r="B423" s="44"/>
    </row>
    <row r="424" spans="2:2" ht="14.25" customHeight="1" x14ac:dyDescent="0.2">
      <c r="B424" s="44"/>
    </row>
    <row r="425" spans="2:2" ht="14.25" customHeight="1" x14ac:dyDescent="0.2">
      <c r="B425" s="44"/>
    </row>
    <row r="426" spans="2:2" ht="14.25" customHeight="1" x14ac:dyDescent="0.2">
      <c r="B426" s="44"/>
    </row>
    <row r="427" spans="2:2" ht="14.25" customHeight="1" x14ac:dyDescent="0.2">
      <c r="B427" s="44"/>
    </row>
    <row r="428" spans="2:2" ht="14.25" customHeight="1" x14ac:dyDescent="0.2">
      <c r="B428" s="44"/>
    </row>
    <row r="429" spans="2:2" ht="14.25" customHeight="1" x14ac:dyDescent="0.2">
      <c r="B429" s="44"/>
    </row>
    <row r="430" spans="2:2" ht="14.25" customHeight="1" x14ac:dyDescent="0.2">
      <c r="B430" s="44"/>
    </row>
    <row r="431" spans="2:2" ht="14.25" customHeight="1" x14ac:dyDescent="0.2">
      <c r="B431" s="44"/>
    </row>
    <row r="432" spans="2:2" ht="14.25" customHeight="1" x14ac:dyDescent="0.2">
      <c r="B432" s="44"/>
    </row>
    <row r="433" spans="2:2" ht="14.25" customHeight="1" x14ac:dyDescent="0.2">
      <c r="B433" s="44"/>
    </row>
    <row r="434" spans="2:2" ht="14.25" customHeight="1" x14ac:dyDescent="0.2">
      <c r="B434" s="44"/>
    </row>
    <row r="435" spans="2:2" ht="14.25" customHeight="1" x14ac:dyDescent="0.2">
      <c r="B435" s="44"/>
    </row>
    <row r="436" spans="2:2" ht="14.25" customHeight="1" x14ac:dyDescent="0.2">
      <c r="B436" s="44"/>
    </row>
    <row r="437" spans="2:2" ht="14.25" customHeight="1" x14ac:dyDescent="0.2">
      <c r="B437" s="44"/>
    </row>
    <row r="438" spans="2:2" ht="14.25" customHeight="1" x14ac:dyDescent="0.2">
      <c r="B438" s="44"/>
    </row>
    <row r="439" spans="2:2" ht="14.25" customHeight="1" x14ac:dyDescent="0.2">
      <c r="B439" s="44"/>
    </row>
    <row r="440" spans="2:2" ht="14.25" customHeight="1" x14ac:dyDescent="0.2">
      <c r="B440" s="44"/>
    </row>
    <row r="441" spans="2:2" ht="14.25" customHeight="1" x14ac:dyDescent="0.2">
      <c r="B441" s="44"/>
    </row>
    <row r="442" spans="2:2" ht="14.25" customHeight="1" x14ac:dyDescent="0.2">
      <c r="B442" s="44"/>
    </row>
    <row r="443" spans="2:2" ht="14.25" customHeight="1" x14ac:dyDescent="0.2">
      <c r="B443" s="44"/>
    </row>
    <row r="444" spans="2:2" ht="14.25" customHeight="1" x14ac:dyDescent="0.2">
      <c r="B444" s="44"/>
    </row>
    <row r="445" spans="2:2" ht="14.25" customHeight="1" x14ac:dyDescent="0.2">
      <c r="B445" s="44"/>
    </row>
    <row r="446" spans="2:2" ht="14.25" customHeight="1" x14ac:dyDescent="0.2">
      <c r="B446" s="44"/>
    </row>
    <row r="447" spans="2:2" ht="14.25" customHeight="1" x14ac:dyDescent="0.2">
      <c r="B447" s="44"/>
    </row>
    <row r="448" spans="2:2" ht="14.25" customHeight="1" x14ac:dyDescent="0.2">
      <c r="B448" s="44"/>
    </row>
    <row r="449" spans="2:2" ht="14.25" customHeight="1" x14ac:dyDescent="0.2">
      <c r="B449" s="44"/>
    </row>
    <row r="450" spans="2:2" ht="14.25" customHeight="1" x14ac:dyDescent="0.2">
      <c r="B450" s="44"/>
    </row>
    <row r="451" spans="2:2" ht="14.25" customHeight="1" x14ac:dyDescent="0.2">
      <c r="B451" s="44"/>
    </row>
    <row r="452" spans="2:2" ht="14.25" customHeight="1" x14ac:dyDescent="0.2">
      <c r="B452" s="44"/>
    </row>
    <row r="453" spans="2:2" ht="14.25" customHeight="1" x14ac:dyDescent="0.2">
      <c r="B453" s="44"/>
    </row>
    <row r="454" spans="2:2" ht="14.25" customHeight="1" x14ac:dyDescent="0.2">
      <c r="B454" s="44"/>
    </row>
    <row r="455" spans="2:2" ht="14.25" customHeight="1" x14ac:dyDescent="0.2">
      <c r="B455" s="44"/>
    </row>
    <row r="456" spans="2:2" ht="14.25" customHeight="1" x14ac:dyDescent="0.2">
      <c r="B456" s="44"/>
    </row>
    <row r="457" spans="2:2" ht="14.25" customHeight="1" x14ac:dyDescent="0.2">
      <c r="B457" s="44"/>
    </row>
    <row r="458" spans="2:2" ht="14.25" customHeight="1" x14ac:dyDescent="0.2">
      <c r="B458" s="44"/>
    </row>
    <row r="459" spans="2:2" ht="14.25" customHeight="1" x14ac:dyDescent="0.2">
      <c r="B459" s="44"/>
    </row>
    <row r="460" spans="2:2" ht="14.25" customHeight="1" x14ac:dyDescent="0.2">
      <c r="B460" s="44"/>
    </row>
    <row r="461" spans="2:2" ht="14.25" customHeight="1" x14ac:dyDescent="0.2">
      <c r="B461" s="44"/>
    </row>
    <row r="462" spans="2:2" ht="14.25" customHeight="1" x14ac:dyDescent="0.2">
      <c r="B462" s="44"/>
    </row>
    <row r="463" spans="2:2" ht="14.25" customHeight="1" x14ac:dyDescent="0.2">
      <c r="B463" s="44"/>
    </row>
    <row r="464" spans="2:2" ht="14.25" customHeight="1" x14ac:dyDescent="0.2">
      <c r="B464" s="44"/>
    </row>
    <row r="465" spans="2:2" ht="14.25" customHeight="1" x14ac:dyDescent="0.2">
      <c r="B465" s="44"/>
    </row>
    <row r="466" spans="2:2" ht="14.25" customHeight="1" x14ac:dyDescent="0.2">
      <c r="B466" s="44"/>
    </row>
    <row r="467" spans="2:2" ht="14.25" customHeight="1" x14ac:dyDescent="0.2">
      <c r="B467" s="44"/>
    </row>
    <row r="468" spans="2:2" ht="14.25" customHeight="1" x14ac:dyDescent="0.2">
      <c r="B468" s="44"/>
    </row>
    <row r="469" spans="2:2" ht="14.25" customHeight="1" x14ac:dyDescent="0.2">
      <c r="B469" s="44"/>
    </row>
    <row r="470" spans="2:2" ht="14.25" customHeight="1" x14ac:dyDescent="0.2">
      <c r="B470" s="44"/>
    </row>
    <row r="471" spans="2:2" ht="14.25" customHeight="1" x14ac:dyDescent="0.2">
      <c r="B471" s="44"/>
    </row>
    <row r="472" spans="2:2" ht="14.25" customHeight="1" x14ac:dyDescent="0.2">
      <c r="B472" s="44"/>
    </row>
    <row r="473" spans="2:2" ht="14.25" customHeight="1" x14ac:dyDescent="0.2">
      <c r="B473" s="44"/>
    </row>
    <row r="474" spans="2:2" ht="14.25" customHeight="1" x14ac:dyDescent="0.2">
      <c r="B474" s="44"/>
    </row>
    <row r="475" spans="2:2" ht="14.25" customHeight="1" x14ac:dyDescent="0.2">
      <c r="B475" s="44"/>
    </row>
    <row r="476" spans="2:2" ht="14.25" customHeight="1" x14ac:dyDescent="0.2">
      <c r="B476" s="44"/>
    </row>
    <row r="477" spans="2:2" ht="14.25" customHeight="1" x14ac:dyDescent="0.2">
      <c r="B477" s="44"/>
    </row>
    <row r="478" spans="2:2" ht="14.25" customHeight="1" x14ac:dyDescent="0.2">
      <c r="B478" s="44"/>
    </row>
    <row r="479" spans="2:2" ht="14.25" customHeight="1" x14ac:dyDescent="0.2">
      <c r="B479" s="44"/>
    </row>
    <row r="480" spans="2:2" ht="14.25" customHeight="1" x14ac:dyDescent="0.2">
      <c r="B480" s="44"/>
    </row>
    <row r="481" spans="2:2" ht="14.25" customHeight="1" x14ac:dyDescent="0.2">
      <c r="B481" s="44"/>
    </row>
    <row r="482" spans="2:2" ht="14.25" customHeight="1" x14ac:dyDescent="0.2">
      <c r="B482" s="44"/>
    </row>
    <row r="483" spans="2:2" ht="14.25" customHeight="1" x14ac:dyDescent="0.2">
      <c r="B483" s="44"/>
    </row>
    <row r="484" spans="2:2" ht="14.25" customHeight="1" x14ac:dyDescent="0.2">
      <c r="B484" s="44"/>
    </row>
    <row r="485" spans="2:2" ht="14.25" customHeight="1" x14ac:dyDescent="0.2">
      <c r="B485" s="44"/>
    </row>
    <row r="486" spans="2:2" ht="14.25" customHeight="1" x14ac:dyDescent="0.2">
      <c r="B486" s="44"/>
    </row>
    <row r="487" spans="2:2" ht="14.25" customHeight="1" x14ac:dyDescent="0.2">
      <c r="B487" s="44"/>
    </row>
    <row r="488" spans="2:2" ht="14.25" customHeight="1" x14ac:dyDescent="0.2">
      <c r="B488" s="44"/>
    </row>
    <row r="489" spans="2:2" ht="14.25" customHeight="1" x14ac:dyDescent="0.2">
      <c r="B489" s="44"/>
    </row>
    <row r="490" spans="2:2" ht="14.25" customHeight="1" x14ac:dyDescent="0.2">
      <c r="B490" s="44"/>
    </row>
    <row r="491" spans="2:2" ht="14.25" customHeight="1" x14ac:dyDescent="0.2">
      <c r="B491" s="44"/>
    </row>
    <row r="492" spans="2:2" ht="14.25" customHeight="1" x14ac:dyDescent="0.2">
      <c r="B492" s="44"/>
    </row>
    <row r="493" spans="2:2" ht="14.25" customHeight="1" x14ac:dyDescent="0.2">
      <c r="B493" s="44"/>
    </row>
    <row r="494" spans="2:2" ht="14.25" customHeight="1" x14ac:dyDescent="0.2">
      <c r="B494" s="44"/>
    </row>
    <row r="495" spans="2:2" ht="14.25" customHeight="1" x14ac:dyDescent="0.2">
      <c r="B495" s="44"/>
    </row>
    <row r="496" spans="2:2" ht="14.25" customHeight="1" x14ac:dyDescent="0.2">
      <c r="B496" s="44"/>
    </row>
    <row r="497" spans="2:2" ht="14.25" customHeight="1" x14ac:dyDescent="0.2">
      <c r="B497" s="44"/>
    </row>
    <row r="498" spans="2:2" ht="14.25" customHeight="1" x14ac:dyDescent="0.2">
      <c r="B498" s="44"/>
    </row>
    <row r="499" spans="2:2" ht="14.25" customHeight="1" x14ac:dyDescent="0.2">
      <c r="B499" s="44"/>
    </row>
    <row r="500" spans="2:2" ht="14.25" customHeight="1" x14ac:dyDescent="0.2">
      <c r="B500" s="44"/>
    </row>
    <row r="501" spans="2:2" ht="14.25" customHeight="1" x14ac:dyDescent="0.2">
      <c r="B501" s="44"/>
    </row>
    <row r="502" spans="2:2" ht="14.25" customHeight="1" x14ac:dyDescent="0.2">
      <c r="B502" s="44"/>
    </row>
    <row r="503" spans="2:2" ht="14.25" customHeight="1" x14ac:dyDescent="0.2">
      <c r="B503" s="44"/>
    </row>
    <row r="504" spans="2:2" ht="14.25" customHeight="1" x14ac:dyDescent="0.2">
      <c r="B504" s="44"/>
    </row>
    <row r="505" spans="2:2" ht="14.25" customHeight="1" x14ac:dyDescent="0.2">
      <c r="B505" s="44"/>
    </row>
    <row r="506" spans="2:2" ht="14.25" customHeight="1" x14ac:dyDescent="0.2">
      <c r="B506" s="44"/>
    </row>
    <row r="507" spans="2:2" ht="14.25" customHeight="1" x14ac:dyDescent="0.2">
      <c r="B507" s="44"/>
    </row>
    <row r="508" spans="2:2" ht="14.25" customHeight="1" x14ac:dyDescent="0.2">
      <c r="B508" s="44"/>
    </row>
    <row r="509" spans="2:2" ht="14.25" customHeight="1" x14ac:dyDescent="0.2">
      <c r="B509" s="44"/>
    </row>
    <row r="510" spans="2:2" ht="14.25" customHeight="1" x14ac:dyDescent="0.2">
      <c r="B510" s="44"/>
    </row>
    <row r="511" spans="2:2" ht="14.25" customHeight="1" x14ac:dyDescent="0.2">
      <c r="B511" s="44"/>
    </row>
    <row r="512" spans="2:2" ht="14.25" customHeight="1" x14ac:dyDescent="0.2">
      <c r="B512" s="44"/>
    </row>
    <row r="513" spans="2:2" ht="14.25" customHeight="1" x14ac:dyDescent="0.2">
      <c r="B513" s="44"/>
    </row>
    <row r="514" spans="2:2" ht="14.25" customHeight="1" x14ac:dyDescent="0.2">
      <c r="B514" s="44"/>
    </row>
    <row r="515" spans="2:2" ht="14.25" customHeight="1" x14ac:dyDescent="0.2">
      <c r="B515" s="44"/>
    </row>
    <row r="516" spans="2:2" ht="14.25" customHeight="1" x14ac:dyDescent="0.2">
      <c r="B516" s="44"/>
    </row>
    <row r="517" spans="2:2" ht="14.25" customHeight="1" x14ac:dyDescent="0.2">
      <c r="B517" s="44"/>
    </row>
    <row r="518" spans="2:2" ht="14.25" customHeight="1" x14ac:dyDescent="0.2">
      <c r="B518" s="44"/>
    </row>
    <row r="519" spans="2:2" ht="14.25" customHeight="1" x14ac:dyDescent="0.2">
      <c r="B519" s="44"/>
    </row>
    <row r="520" spans="2:2" ht="14.25" customHeight="1" x14ac:dyDescent="0.2">
      <c r="B520" s="44"/>
    </row>
    <row r="521" spans="2:2" ht="14.25" customHeight="1" x14ac:dyDescent="0.2">
      <c r="B521" s="44"/>
    </row>
    <row r="522" spans="2:2" ht="14.25" customHeight="1" x14ac:dyDescent="0.2">
      <c r="B522" s="44"/>
    </row>
    <row r="523" spans="2:2" ht="14.25" customHeight="1" x14ac:dyDescent="0.2">
      <c r="B523" s="44"/>
    </row>
    <row r="524" spans="2:2" ht="14.25" customHeight="1" x14ac:dyDescent="0.2">
      <c r="B524" s="44"/>
    </row>
    <row r="525" spans="2:2" ht="14.25" customHeight="1" x14ac:dyDescent="0.2">
      <c r="B525" s="44"/>
    </row>
    <row r="526" spans="2:2" ht="14.25" customHeight="1" x14ac:dyDescent="0.2">
      <c r="B526" s="44"/>
    </row>
    <row r="527" spans="2:2" ht="14.25" customHeight="1" x14ac:dyDescent="0.2">
      <c r="B527" s="44"/>
    </row>
    <row r="528" spans="2:2" ht="14.25" customHeight="1" x14ac:dyDescent="0.2">
      <c r="B528" s="44"/>
    </row>
    <row r="529" spans="2:2" ht="14.25" customHeight="1" x14ac:dyDescent="0.2">
      <c r="B529" s="44"/>
    </row>
    <row r="530" spans="2:2" ht="14.25" customHeight="1" x14ac:dyDescent="0.2">
      <c r="B530" s="44"/>
    </row>
    <row r="531" spans="2:2" ht="14.25" customHeight="1" x14ac:dyDescent="0.2">
      <c r="B531" s="44"/>
    </row>
    <row r="532" spans="2:2" ht="14.25" customHeight="1" x14ac:dyDescent="0.2">
      <c r="B532" s="44"/>
    </row>
    <row r="533" spans="2:2" ht="14.25" customHeight="1" x14ac:dyDescent="0.2">
      <c r="B533" s="44"/>
    </row>
    <row r="534" spans="2:2" ht="14.25" customHeight="1" x14ac:dyDescent="0.2">
      <c r="B534" s="44"/>
    </row>
    <row r="535" spans="2:2" ht="14.25" customHeight="1" x14ac:dyDescent="0.2">
      <c r="B535" s="44"/>
    </row>
    <row r="536" spans="2:2" ht="14.25" customHeight="1" x14ac:dyDescent="0.2">
      <c r="B536" s="44"/>
    </row>
    <row r="537" spans="2:2" ht="14.25" customHeight="1" x14ac:dyDescent="0.2">
      <c r="B537" s="44"/>
    </row>
    <row r="538" spans="2:2" ht="14.25" customHeight="1" x14ac:dyDescent="0.2">
      <c r="B538" s="44"/>
    </row>
    <row r="539" spans="2:2" ht="14.25" customHeight="1" x14ac:dyDescent="0.2">
      <c r="B539" s="44"/>
    </row>
    <row r="540" spans="2:2" ht="14.25" customHeight="1" x14ac:dyDescent="0.2">
      <c r="B540" s="44"/>
    </row>
    <row r="541" spans="2:2" ht="14.25" customHeight="1" x14ac:dyDescent="0.2">
      <c r="B541" s="44"/>
    </row>
    <row r="542" spans="2:2" ht="14.25" customHeight="1" x14ac:dyDescent="0.2">
      <c r="B542" s="44"/>
    </row>
    <row r="543" spans="2:2" ht="14.25" customHeight="1" x14ac:dyDescent="0.2">
      <c r="B543" s="44"/>
    </row>
    <row r="544" spans="2:2" ht="14.25" customHeight="1" x14ac:dyDescent="0.2">
      <c r="B544" s="44"/>
    </row>
    <row r="545" spans="2:2" ht="14.25" customHeight="1" x14ac:dyDescent="0.2">
      <c r="B545" s="44"/>
    </row>
    <row r="546" spans="2:2" ht="14.25" customHeight="1" x14ac:dyDescent="0.2">
      <c r="B546" s="44"/>
    </row>
    <row r="547" spans="2:2" ht="14.25" customHeight="1" x14ac:dyDescent="0.2">
      <c r="B547" s="44"/>
    </row>
    <row r="548" spans="2:2" ht="14.25" customHeight="1" x14ac:dyDescent="0.2">
      <c r="B548" s="44"/>
    </row>
    <row r="549" spans="2:2" ht="14.25" customHeight="1" x14ac:dyDescent="0.2">
      <c r="B549" s="44"/>
    </row>
    <row r="550" spans="2:2" ht="14.25" customHeight="1" x14ac:dyDescent="0.2">
      <c r="B550" s="44"/>
    </row>
    <row r="551" spans="2:2" ht="14.25" customHeight="1" x14ac:dyDescent="0.2">
      <c r="B551" s="44"/>
    </row>
    <row r="552" spans="2:2" ht="14.25" customHeight="1" x14ac:dyDescent="0.2">
      <c r="B552" s="44"/>
    </row>
    <row r="553" spans="2:2" ht="14.25" customHeight="1" x14ac:dyDescent="0.2">
      <c r="B553" s="44"/>
    </row>
    <row r="554" spans="2:2" ht="14.25" customHeight="1" x14ac:dyDescent="0.2">
      <c r="B554" s="44"/>
    </row>
    <row r="555" spans="2:2" ht="14.25" customHeight="1" x14ac:dyDescent="0.2">
      <c r="B555" s="44"/>
    </row>
    <row r="556" spans="2:2" ht="14.25" customHeight="1" x14ac:dyDescent="0.2">
      <c r="B556" s="44"/>
    </row>
    <row r="557" spans="2:2" ht="14.25" customHeight="1" x14ac:dyDescent="0.2">
      <c r="B557" s="44"/>
    </row>
    <row r="558" spans="2:2" ht="14.25" customHeight="1" x14ac:dyDescent="0.2">
      <c r="B558" s="44"/>
    </row>
    <row r="559" spans="2:2" ht="14.25" customHeight="1" x14ac:dyDescent="0.2">
      <c r="B559" s="44"/>
    </row>
    <row r="560" spans="2:2" ht="14.25" customHeight="1" x14ac:dyDescent="0.2">
      <c r="B560" s="44"/>
    </row>
    <row r="561" spans="2:2" ht="14.25" customHeight="1" x14ac:dyDescent="0.2">
      <c r="B561" s="44"/>
    </row>
    <row r="562" spans="2:2" ht="14.25" customHeight="1" x14ac:dyDescent="0.2">
      <c r="B562" s="44"/>
    </row>
    <row r="563" spans="2:2" ht="14.25" customHeight="1" x14ac:dyDescent="0.2">
      <c r="B563" s="44"/>
    </row>
    <row r="564" spans="2:2" ht="14.25" customHeight="1" x14ac:dyDescent="0.2">
      <c r="B564" s="44"/>
    </row>
    <row r="565" spans="2:2" ht="14.25" customHeight="1" x14ac:dyDescent="0.2">
      <c r="B565" s="44"/>
    </row>
    <row r="566" spans="2:2" ht="14.25" customHeight="1" x14ac:dyDescent="0.2">
      <c r="B566" s="44"/>
    </row>
    <row r="567" spans="2:2" ht="14.25" customHeight="1" x14ac:dyDescent="0.2">
      <c r="B567" s="44"/>
    </row>
    <row r="568" spans="2:2" ht="14.25" customHeight="1" x14ac:dyDescent="0.2">
      <c r="B568" s="44"/>
    </row>
    <row r="569" spans="2:2" ht="14.25" customHeight="1" x14ac:dyDescent="0.2">
      <c r="B569" s="44"/>
    </row>
    <row r="570" spans="2:2" ht="14.25" customHeight="1" x14ac:dyDescent="0.2">
      <c r="B570" s="44"/>
    </row>
    <row r="571" spans="2:2" ht="14.25" customHeight="1" x14ac:dyDescent="0.2">
      <c r="B571" s="44"/>
    </row>
    <row r="572" spans="2:2" ht="14.25" customHeight="1" x14ac:dyDescent="0.2">
      <c r="B572" s="44"/>
    </row>
    <row r="573" spans="2:2" ht="14.25" customHeight="1" x14ac:dyDescent="0.2">
      <c r="B573" s="44"/>
    </row>
    <row r="574" spans="2:2" ht="14.25" customHeight="1" x14ac:dyDescent="0.2">
      <c r="B574" s="44"/>
    </row>
    <row r="575" spans="2:2" ht="14.25" customHeight="1" x14ac:dyDescent="0.2">
      <c r="B575" s="44"/>
    </row>
    <row r="576" spans="2:2" ht="14.25" customHeight="1" x14ac:dyDescent="0.2">
      <c r="B576" s="44"/>
    </row>
    <row r="577" spans="2:2" ht="14.25" customHeight="1" x14ac:dyDescent="0.2">
      <c r="B577" s="44"/>
    </row>
    <row r="578" spans="2:2" ht="14.25" customHeight="1" x14ac:dyDescent="0.2">
      <c r="B578" s="44"/>
    </row>
    <row r="579" spans="2:2" ht="14.25" customHeight="1" x14ac:dyDescent="0.2">
      <c r="B579" s="44"/>
    </row>
    <row r="580" spans="2:2" ht="14.25" customHeight="1" x14ac:dyDescent="0.2">
      <c r="B580" s="44"/>
    </row>
    <row r="581" spans="2:2" ht="14.25" customHeight="1" x14ac:dyDescent="0.2">
      <c r="B581" s="44"/>
    </row>
    <row r="582" spans="2:2" ht="14.25" customHeight="1" x14ac:dyDescent="0.2">
      <c r="B582" s="44"/>
    </row>
    <row r="583" spans="2:2" ht="14.25" customHeight="1" x14ac:dyDescent="0.2">
      <c r="B583" s="44"/>
    </row>
    <row r="584" spans="2:2" ht="14.25" customHeight="1" x14ac:dyDescent="0.2">
      <c r="B584" s="44"/>
    </row>
    <row r="585" spans="2:2" ht="14.25" customHeight="1" x14ac:dyDescent="0.2">
      <c r="B585" s="44"/>
    </row>
    <row r="586" spans="2:2" ht="14.25" customHeight="1" x14ac:dyDescent="0.2">
      <c r="B586" s="44"/>
    </row>
    <row r="587" spans="2:2" ht="14.25" customHeight="1" x14ac:dyDescent="0.2">
      <c r="B587" s="44"/>
    </row>
    <row r="588" spans="2:2" ht="14.25" customHeight="1" x14ac:dyDescent="0.2">
      <c r="B588" s="44"/>
    </row>
    <row r="589" spans="2:2" ht="14.25" customHeight="1" x14ac:dyDescent="0.2">
      <c r="B589" s="44"/>
    </row>
    <row r="590" spans="2:2" ht="14.25" customHeight="1" x14ac:dyDescent="0.2">
      <c r="B590" s="44"/>
    </row>
    <row r="591" spans="2:2" ht="14.25" customHeight="1" x14ac:dyDescent="0.2">
      <c r="B591" s="44"/>
    </row>
    <row r="592" spans="2:2" ht="14.25" customHeight="1" x14ac:dyDescent="0.2">
      <c r="B592" s="44"/>
    </row>
    <row r="593" spans="2:2" ht="14.25" customHeight="1" x14ac:dyDescent="0.2">
      <c r="B593" s="44"/>
    </row>
    <row r="594" spans="2:2" ht="14.25" customHeight="1" x14ac:dyDescent="0.2">
      <c r="B594" s="44"/>
    </row>
    <row r="595" spans="2:2" ht="14.25" customHeight="1" x14ac:dyDescent="0.2">
      <c r="B595" s="44"/>
    </row>
    <row r="596" spans="2:2" ht="14.25" customHeight="1" x14ac:dyDescent="0.2">
      <c r="B596" s="44"/>
    </row>
    <row r="597" spans="2:2" ht="14.25" customHeight="1" x14ac:dyDescent="0.2">
      <c r="B597" s="44"/>
    </row>
    <row r="598" spans="2:2" ht="14.25" customHeight="1" x14ac:dyDescent="0.2">
      <c r="B598" s="44"/>
    </row>
    <row r="599" spans="2:2" ht="14.25" customHeight="1" x14ac:dyDescent="0.2">
      <c r="B599" s="44"/>
    </row>
    <row r="600" spans="2:2" ht="14.25" customHeight="1" x14ac:dyDescent="0.2">
      <c r="B600" s="44"/>
    </row>
    <row r="601" spans="2:2" ht="14.25" customHeight="1" x14ac:dyDescent="0.2">
      <c r="B601" s="44"/>
    </row>
    <row r="602" spans="2:2" ht="14.25" customHeight="1" x14ac:dyDescent="0.2">
      <c r="B602" s="44"/>
    </row>
    <row r="603" spans="2:2" ht="14.25" customHeight="1" x14ac:dyDescent="0.2">
      <c r="B603" s="44"/>
    </row>
    <row r="604" spans="2:2" ht="14.25" customHeight="1" x14ac:dyDescent="0.2">
      <c r="B604" s="44"/>
    </row>
    <row r="605" spans="2:2" ht="14.25" customHeight="1" x14ac:dyDescent="0.2">
      <c r="B605" s="44"/>
    </row>
    <row r="606" spans="2:2" ht="14.25" customHeight="1" x14ac:dyDescent="0.2">
      <c r="B606" s="44"/>
    </row>
    <row r="607" spans="2:2" ht="14.25" customHeight="1" x14ac:dyDescent="0.2">
      <c r="B607" s="44"/>
    </row>
    <row r="608" spans="2:2" ht="14.25" customHeight="1" x14ac:dyDescent="0.2">
      <c r="B608" s="44"/>
    </row>
    <row r="609" spans="2:2" ht="14.25" customHeight="1" x14ac:dyDescent="0.2">
      <c r="B609" s="44"/>
    </row>
    <row r="610" spans="2:2" ht="14.25" customHeight="1" x14ac:dyDescent="0.2">
      <c r="B610" s="44"/>
    </row>
    <row r="611" spans="2:2" ht="14.25" customHeight="1" x14ac:dyDescent="0.2">
      <c r="B611" s="44"/>
    </row>
    <row r="612" spans="2:2" ht="14.25" customHeight="1" x14ac:dyDescent="0.2">
      <c r="B612" s="44"/>
    </row>
    <row r="613" spans="2:2" ht="14.25" customHeight="1" x14ac:dyDescent="0.2">
      <c r="B613" s="44"/>
    </row>
    <row r="614" spans="2:2" ht="14.25" customHeight="1" x14ac:dyDescent="0.2">
      <c r="B614" s="44"/>
    </row>
    <row r="615" spans="2:2" ht="14.25" customHeight="1" x14ac:dyDescent="0.2">
      <c r="B615" s="44"/>
    </row>
    <row r="616" spans="2:2" ht="14.25" customHeight="1" x14ac:dyDescent="0.2">
      <c r="B616" s="44"/>
    </row>
    <row r="617" spans="2:2" ht="14.25" customHeight="1" x14ac:dyDescent="0.2">
      <c r="B617" s="44"/>
    </row>
    <row r="618" spans="2:2" ht="14.25" customHeight="1" x14ac:dyDescent="0.2">
      <c r="B618" s="44"/>
    </row>
    <row r="619" spans="2:2" ht="14.25" customHeight="1" x14ac:dyDescent="0.2">
      <c r="B619" s="44"/>
    </row>
    <row r="620" spans="2:2" ht="14.25" customHeight="1" x14ac:dyDescent="0.2">
      <c r="B620" s="44"/>
    </row>
    <row r="621" spans="2:2" ht="14.25" customHeight="1" x14ac:dyDescent="0.2">
      <c r="B621" s="44"/>
    </row>
    <row r="622" spans="2:2" ht="14.25" customHeight="1" x14ac:dyDescent="0.2">
      <c r="B622" s="44"/>
    </row>
    <row r="623" spans="2:2" ht="14.25" customHeight="1" x14ac:dyDescent="0.2">
      <c r="B623" s="44"/>
    </row>
    <row r="624" spans="2:2" ht="14.25" customHeight="1" x14ac:dyDescent="0.2">
      <c r="B624" s="44"/>
    </row>
    <row r="625" spans="2:2" ht="14.25" customHeight="1" x14ac:dyDescent="0.2">
      <c r="B625" s="44"/>
    </row>
    <row r="626" spans="2:2" ht="14.25" customHeight="1" x14ac:dyDescent="0.2">
      <c r="B626" s="44"/>
    </row>
    <row r="627" spans="2:2" ht="14.25" customHeight="1" x14ac:dyDescent="0.2">
      <c r="B627" s="44"/>
    </row>
    <row r="628" spans="2:2" ht="14.25" customHeight="1" x14ac:dyDescent="0.2">
      <c r="B628" s="44"/>
    </row>
    <row r="629" spans="2:2" ht="14.25" customHeight="1" x14ac:dyDescent="0.2">
      <c r="B629" s="44"/>
    </row>
    <row r="630" spans="2:2" ht="14.25" customHeight="1" x14ac:dyDescent="0.2">
      <c r="B630" s="44"/>
    </row>
    <row r="631" spans="2:2" ht="14.25" customHeight="1" x14ac:dyDescent="0.2">
      <c r="B631" s="44"/>
    </row>
    <row r="632" spans="2:2" ht="14.25" customHeight="1" x14ac:dyDescent="0.2">
      <c r="B632" s="44"/>
    </row>
    <row r="633" spans="2:2" ht="14.25" customHeight="1" x14ac:dyDescent="0.2">
      <c r="B633" s="44"/>
    </row>
    <row r="634" spans="2:2" ht="14.25" customHeight="1" x14ac:dyDescent="0.2">
      <c r="B634" s="44"/>
    </row>
    <row r="635" spans="2:2" ht="14.25" customHeight="1" x14ac:dyDescent="0.2">
      <c r="B635" s="44"/>
    </row>
    <row r="636" spans="2:2" ht="14.25" customHeight="1" x14ac:dyDescent="0.2">
      <c r="B636" s="44"/>
    </row>
    <row r="637" spans="2:2" ht="14.25" customHeight="1" x14ac:dyDescent="0.2">
      <c r="B637" s="44"/>
    </row>
    <row r="638" spans="2:2" ht="14.25" customHeight="1" x14ac:dyDescent="0.2">
      <c r="B638" s="44"/>
    </row>
    <row r="639" spans="2:2" ht="14.25" customHeight="1" x14ac:dyDescent="0.2">
      <c r="B639" s="44"/>
    </row>
    <row r="640" spans="2:2" ht="14.25" customHeight="1" x14ac:dyDescent="0.2">
      <c r="B640" s="44"/>
    </row>
    <row r="641" spans="2:2" ht="14.25" customHeight="1" x14ac:dyDescent="0.2">
      <c r="B641" s="44"/>
    </row>
    <row r="642" spans="2:2" ht="14.25" customHeight="1" x14ac:dyDescent="0.2">
      <c r="B642" s="44"/>
    </row>
    <row r="643" spans="2:2" ht="14.25" customHeight="1" x14ac:dyDescent="0.2">
      <c r="B643" s="44"/>
    </row>
    <row r="644" spans="2:2" ht="14.25" customHeight="1" x14ac:dyDescent="0.2">
      <c r="B644" s="44"/>
    </row>
    <row r="645" spans="2:2" ht="14.25" customHeight="1" x14ac:dyDescent="0.2">
      <c r="B645" s="44"/>
    </row>
    <row r="646" spans="2:2" ht="14.25" customHeight="1" x14ac:dyDescent="0.2">
      <c r="B646" s="44"/>
    </row>
    <row r="647" spans="2:2" ht="14.25" customHeight="1" x14ac:dyDescent="0.2">
      <c r="B647" s="44"/>
    </row>
    <row r="648" spans="2:2" ht="14.25" customHeight="1" x14ac:dyDescent="0.2">
      <c r="B648" s="44"/>
    </row>
    <row r="649" spans="2:2" ht="14.25" customHeight="1" x14ac:dyDescent="0.2">
      <c r="B649" s="44"/>
    </row>
    <row r="650" spans="2:2" ht="14.25" customHeight="1" x14ac:dyDescent="0.2">
      <c r="B650" s="44"/>
    </row>
    <row r="651" spans="2:2" ht="14.25" customHeight="1" x14ac:dyDescent="0.2">
      <c r="B651" s="44"/>
    </row>
    <row r="652" spans="2:2" ht="14.25" customHeight="1" x14ac:dyDescent="0.2">
      <c r="B652" s="44"/>
    </row>
    <row r="653" spans="2:2" ht="14.25" customHeight="1" x14ac:dyDescent="0.2">
      <c r="B653" s="44"/>
    </row>
    <row r="654" spans="2:2" ht="14.25" customHeight="1" x14ac:dyDescent="0.2">
      <c r="B654" s="44"/>
    </row>
    <row r="655" spans="2:2" ht="14.25" customHeight="1" x14ac:dyDescent="0.2">
      <c r="B655" s="44"/>
    </row>
    <row r="656" spans="2:2" ht="14.25" customHeight="1" x14ac:dyDescent="0.2">
      <c r="B656" s="44"/>
    </row>
    <row r="657" spans="2:2" ht="14.25" customHeight="1" x14ac:dyDescent="0.2">
      <c r="B657" s="44"/>
    </row>
    <row r="658" spans="2:2" ht="14.25" customHeight="1" x14ac:dyDescent="0.2">
      <c r="B658" s="44"/>
    </row>
    <row r="659" spans="2:2" ht="14.25" customHeight="1" x14ac:dyDescent="0.2">
      <c r="B659" s="44"/>
    </row>
    <row r="660" spans="2:2" ht="14.25" customHeight="1" x14ac:dyDescent="0.2">
      <c r="B660" s="44"/>
    </row>
    <row r="661" spans="2:2" ht="14.25" customHeight="1" x14ac:dyDescent="0.2">
      <c r="B661" s="44"/>
    </row>
    <row r="662" spans="2:2" ht="14.25" customHeight="1" x14ac:dyDescent="0.2">
      <c r="B662" s="44"/>
    </row>
    <row r="663" spans="2:2" ht="14.25" customHeight="1" x14ac:dyDescent="0.2">
      <c r="B663" s="44"/>
    </row>
    <row r="664" spans="2:2" ht="14.25" customHeight="1" x14ac:dyDescent="0.2">
      <c r="B664" s="44"/>
    </row>
    <row r="665" spans="2:2" ht="14.25" customHeight="1" x14ac:dyDescent="0.2">
      <c r="B665" s="44"/>
    </row>
    <row r="666" spans="2:2" ht="14.25" customHeight="1" x14ac:dyDescent="0.2">
      <c r="B666" s="44"/>
    </row>
    <row r="667" spans="2:2" ht="14.25" customHeight="1" x14ac:dyDescent="0.2">
      <c r="B667" s="44"/>
    </row>
    <row r="668" spans="2:2" ht="14.25" customHeight="1" x14ac:dyDescent="0.2">
      <c r="B668" s="44"/>
    </row>
    <row r="669" spans="2:2" ht="14.25" customHeight="1" x14ac:dyDescent="0.2">
      <c r="B669" s="44"/>
    </row>
    <row r="670" spans="2:2" ht="14.25" customHeight="1" x14ac:dyDescent="0.2">
      <c r="B670" s="44"/>
    </row>
    <row r="671" spans="2:2" ht="14.25" customHeight="1" x14ac:dyDescent="0.2">
      <c r="B671" s="44"/>
    </row>
    <row r="672" spans="2:2" ht="14.25" customHeight="1" x14ac:dyDescent="0.2">
      <c r="B672" s="44"/>
    </row>
    <row r="673" spans="2:2" ht="14.25" customHeight="1" x14ac:dyDescent="0.2">
      <c r="B673" s="44"/>
    </row>
    <row r="674" spans="2:2" ht="14.25" customHeight="1" x14ac:dyDescent="0.2">
      <c r="B674" s="44"/>
    </row>
    <row r="675" spans="2:2" ht="14.25" customHeight="1" x14ac:dyDescent="0.2">
      <c r="B675" s="44"/>
    </row>
    <row r="676" spans="2:2" ht="14.25" customHeight="1" x14ac:dyDescent="0.2">
      <c r="B676" s="44"/>
    </row>
    <row r="677" spans="2:2" ht="14.25" customHeight="1" x14ac:dyDescent="0.2">
      <c r="B677" s="44"/>
    </row>
    <row r="678" spans="2:2" ht="14.25" customHeight="1" x14ac:dyDescent="0.2">
      <c r="B678" s="44"/>
    </row>
    <row r="679" spans="2:2" ht="14.25" customHeight="1" x14ac:dyDescent="0.2">
      <c r="B679" s="44"/>
    </row>
    <row r="680" spans="2:2" ht="14.25" customHeight="1" x14ac:dyDescent="0.2">
      <c r="B680" s="44"/>
    </row>
    <row r="681" spans="2:2" ht="14.25" customHeight="1" x14ac:dyDescent="0.2">
      <c r="B681" s="44"/>
    </row>
    <row r="682" spans="2:2" ht="14.25" customHeight="1" x14ac:dyDescent="0.2">
      <c r="B682" s="44"/>
    </row>
    <row r="683" spans="2:2" ht="14.25" customHeight="1" x14ac:dyDescent="0.2">
      <c r="B683" s="44"/>
    </row>
    <row r="684" spans="2:2" ht="14.25" customHeight="1" x14ac:dyDescent="0.2">
      <c r="B684" s="44"/>
    </row>
    <row r="685" spans="2:2" ht="14.25" customHeight="1" x14ac:dyDescent="0.2">
      <c r="B685" s="44"/>
    </row>
    <row r="686" spans="2:2" ht="14.25" customHeight="1" x14ac:dyDescent="0.2">
      <c r="B686" s="44"/>
    </row>
    <row r="687" spans="2:2" ht="14.25" customHeight="1" x14ac:dyDescent="0.2">
      <c r="B687" s="44"/>
    </row>
    <row r="688" spans="2:2" ht="14.25" customHeight="1" x14ac:dyDescent="0.2">
      <c r="B688" s="44"/>
    </row>
    <row r="689" spans="2:2" ht="14.25" customHeight="1" x14ac:dyDescent="0.2">
      <c r="B689" s="44"/>
    </row>
    <row r="690" spans="2:2" ht="14.25" customHeight="1" x14ac:dyDescent="0.2">
      <c r="B690" s="44"/>
    </row>
    <row r="691" spans="2:2" ht="14.25" customHeight="1" x14ac:dyDescent="0.2">
      <c r="B691" s="44"/>
    </row>
    <row r="692" spans="2:2" ht="14.25" customHeight="1" x14ac:dyDescent="0.2">
      <c r="B692" s="44"/>
    </row>
    <row r="693" spans="2:2" ht="14.25" customHeight="1" x14ac:dyDescent="0.2">
      <c r="B693" s="44"/>
    </row>
    <row r="694" spans="2:2" ht="14.25" customHeight="1" x14ac:dyDescent="0.2">
      <c r="B694" s="44"/>
    </row>
    <row r="695" spans="2:2" ht="14.25" customHeight="1" x14ac:dyDescent="0.2">
      <c r="B695" s="44"/>
    </row>
    <row r="696" spans="2:2" ht="14.25" customHeight="1" x14ac:dyDescent="0.2">
      <c r="B696" s="44"/>
    </row>
    <row r="697" spans="2:2" ht="14.25" customHeight="1" x14ac:dyDescent="0.2">
      <c r="B697" s="44"/>
    </row>
    <row r="698" spans="2:2" ht="14.25" customHeight="1" x14ac:dyDescent="0.2">
      <c r="B698" s="44"/>
    </row>
    <row r="699" spans="2:2" ht="14.25" customHeight="1" x14ac:dyDescent="0.2">
      <c r="B699" s="44"/>
    </row>
    <row r="700" spans="2:2" ht="14.25" customHeight="1" x14ac:dyDescent="0.2">
      <c r="B700" s="44"/>
    </row>
    <row r="701" spans="2:2" ht="14.25" customHeight="1" x14ac:dyDescent="0.2">
      <c r="B701" s="44"/>
    </row>
    <row r="702" spans="2:2" ht="14.25" customHeight="1" x14ac:dyDescent="0.2">
      <c r="B702" s="44"/>
    </row>
    <row r="703" spans="2:2" ht="14.25" customHeight="1" x14ac:dyDescent="0.2">
      <c r="B703" s="44"/>
    </row>
    <row r="704" spans="2:2" ht="14.25" customHeight="1" x14ac:dyDescent="0.2">
      <c r="B704" s="44"/>
    </row>
    <row r="705" spans="2:2" ht="14.25" customHeight="1" x14ac:dyDescent="0.2">
      <c r="B705" s="44"/>
    </row>
    <row r="706" spans="2:2" ht="14.25" customHeight="1" x14ac:dyDescent="0.2">
      <c r="B706" s="44"/>
    </row>
    <row r="707" spans="2:2" ht="14.25" customHeight="1" x14ac:dyDescent="0.2">
      <c r="B707" s="44"/>
    </row>
    <row r="708" spans="2:2" ht="14.25" customHeight="1" x14ac:dyDescent="0.2">
      <c r="B708" s="44"/>
    </row>
    <row r="709" spans="2:2" ht="14.25" customHeight="1" x14ac:dyDescent="0.2">
      <c r="B709" s="44"/>
    </row>
    <row r="710" spans="2:2" ht="14.25" customHeight="1" x14ac:dyDescent="0.2">
      <c r="B710" s="44"/>
    </row>
    <row r="711" spans="2:2" ht="14.25" customHeight="1" x14ac:dyDescent="0.2">
      <c r="B711" s="44"/>
    </row>
    <row r="712" spans="2:2" ht="14.25" customHeight="1" x14ac:dyDescent="0.2">
      <c r="B712" s="44"/>
    </row>
    <row r="713" spans="2:2" ht="14.25" customHeight="1" x14ac:dyDescent="0.2">
      <c r="B713" s="44"/>
    </row>
    <row r="714" spans="2:2" ht="14.25" customHeight="1" x14ac:dyDescent="0.2">
      <c r="B714" s="44"/>
    </row>
    <row r="715" spans="2:2" ht="14.25" customHeight="1" x14ac:dyDescent="0.2">
      <c r="B715" s="44"/>
    </row>
    <row r="716" spans="2:2" ht="14.25" customHeight="1" x14ac:dyDescent="0.2">
      <c r="B716" s="44"/>
    </row>
    <row r="717" spans="2:2" ht="14.25" customHeight="1" x14ac:dyDescent="0.2">
      <c r="B717" s="44"/>
    </row>
    <row r="718" spans="2:2" ht="14.25" customHeight="1" x14ac:dyDescent="0.2">
      <c r="B718" s="44"/>
    </row>
    <row r="719" spans="2:2" ht="14.25" customHeight="1" x14ac:dyDescent="0.2">
      <c r="B719" s="44"/>
    </row>
    <row r="720" spans="2:2" ht="14.25" customHeight="1" x14ac:dyDescent="0.2">
      <c r="B720" s="44"/>
    </row>
    <row r="721" spans="2:2" ht="14.25" customHeight="1" x14ac:dyDescent="0.2">
      <c r="B721" s="44"/>
    </row>
    <row r="722" spans="2:2" ht="14.25" customHeight="1" x14ac:dyDescent="0.2">
      <c r="B722" s="44"/>
    </row>
    <row r="723" spans="2:2" ht="14.25" customHeight="1" x14ac:dyDescent="0.2">
      <c r="B723" s="44"/>
    </row>
    <row r="724" spans="2:2" ht="14.25" customHeight="1" x14ac:dyDescent="0.2">
      <c r="B724" s="44"/>
    </row>
    <row r="725" spans="2:2" ht="14.25" customHeight="1" x14ac:dyDescent="0.2">
      <c r="B725" s="44"/>
    </row>
    <row r="726" spans="2:2" ht="14.25" customHeight="1" x14ac:dyDescent="0.2">
      <c r="B726" s="44"/>
    </row>
    <row r="727" spans="2:2" ht="14.25" customHeight="1" x14ac:dyDescent="0.2">
      <c r="B727" s="44"/>
    </row>
    <row r="728" spans="2:2" ht="14.25" customHeight="1" x14ac:dyDescent="0.2">
      <c r="B728" s="44"/>
    </row>
    <row r="729" spans="2:2" ht="14.25" customHeight="1" x14ac:dyDescent="0.2">
      <c r="B729" s="44"/>
    </row>
    <row r="730" spans="2:2" ht="14.25" customHeight="1" x14ac:dyDescent="0.2">
      <c r="B730" s="44"/>
    </row>
    <row r="731" spans="2:2" ht="14.25" customHeight="1" x14ac:dyDescent="0.2">
      <c r="B731" s="44"/>
    </row>
    <row r="732" spans="2:2" ht="14.25" customHeight="1" x14ac:dyDescent="0.2">
      <c r="B732" s="44"/>
    </row>
    <row r="733" spans="2:2" ht="14.25" customHeight="1" x14ac:dyDescent="0.2">
      <c r="B733" s="44"/>
    </row>
    <row r="734" spans="2:2" ht="14.25" customHeight="1" x14ac:dyDescent="0.2">
      <c r="B734" s="44"/>
    </row>
    <row r="735" spans="2:2" ht="14.25" customHeight="1" x14ac:dyDescent="0.2">
      <c r="B735" s="44"/>
    </row>
    <row r="736" spans="2:2" ht="14.25" customHeight="1" x14ac:dyDescent="0.2">
      <c r="B736" s="44"/>
    </row>
    <row r="737" spans="2:2" ht="14.25" customHeight="1" x14ac:dyDescent="0.2">
      <c r="B737" s="44"/>
    </row>
    <row r="738" spans="2:2" ht="14.25" customHeight="1" x14ac:dyDescent="0.2">
      <c r="B738" s="44"/>
    </row>
    <row r="739" spans="2:2" ht="14.25" customHeight="1" x14ac:dyDescent="0.2">
      <c r="B739" s="44"/>
    </row>
    <row r="740" spans="2:2" ht="14.25" customHeight="1" x14ac:dyDescent="0.2">
      <c r="B740" s="44"/>
    </row>
    <row r="741" spans="2:2" ht="14.25" customHeight="1" x14ac:dyDescent="0.2">
      <c r="B741" s="44"/>
    </row>
    <row r="742" spans="2:2" ht="14.25" customHeight="1" x14ac:dyDescent="0.2">
      <c r="B742" s="44"/>
    </row>
    <row r="743" spans="2:2" ht="14.25" customHeight="1" x14ac:dyDescent="0.2">
      <c r="B743" s="44"/>
    </row>
    <row r="744" spans="2:2" ht="14.25" customHeight="1" x14ac:dyDescent="0.2">
      <c r="B744" s="44"/>
    </row>
    <row r="745" spans="2:2" ht="14.25" customHeight="1" x14ac:dyDescent="0.2">
      <c r="B745" s="44"/>
    </row>
    <row r="746" spans="2:2" ht="14.25" customHeight="1" x14ac:dyDescent="0.2">
      <c r="B746" s="44"/>
    </row>
    <row r="747" spans="2:2" ht="14.25" customHeight="1" x14ac:dyDescent="0.2">
      <c r="B747" s="44"/>
    </row>
    <row r="748" spans="2:2" ht="14.25" customHeight="1" x14ac:dyDescent="0.2">
      <c r="B748" s="44"/>
    </row>
    <row r="749" spans="2:2" ht="14.25" customHeight="1" x14ac:dyDescent="0.2">
      <c r="B749" s="44"/>
    </row>
    <row r="750" spans="2:2" ht="14.25" customHeight="1" x14ac:dyDescent="0.2">
      <c r="B750" s="44"/>
    </row>
    <row r="751" spans="2:2" ht="14.25" customHeight="1" x14ac:dyDescent="0.2">
      <c r="B751" s="44"/>
    </row>
    <row r="752" spans="2:2" ht="14.25" customHeight="1" x14ac:dyDescent="0.2">
      <c r="B752" s="44"/>
    </row>
    <row r="753" spans="2:2" ht="14.25" customHeight="1" x14ac:dyDescent="0.2">
      <c r="B753" s="44"/>
    </row>
    <row r="754" spans="2:2" ht="14.25" customHeight="1" x14ac:dyDescent="0.2">
      <c r="B754" s="44"/>
    </row>
    <row r="755" spans="2:2" ht="14.25" customHeight="1" x14ac:dyDescent="0.2">
      <c r="B755" s="44"/>
    </row>
    <row r="756" spans="2:2" ht="14.25" customHeight="1" x14ac:dyDescent="0.2">
      <c r="B756" s="44"/>
    </row>
    <row r="757" spans="2:2" ht="14.25" customHeight="1" x14ac:dyDescent="0.2">
      <c r="B757" s="44"/>
    </row>
    <row r="758" spans="2:2" ht="14.25" customHeight="1" x14ac:dyDescent="0.2">
      <c r="B758" s="44"/>
    </row>
    <row r="759" spans="2:2" ht="14.25" customHeight="1" x14ac:dyDescent="0.2">
      <c r="B759" s="44"/>
    </row>
    <row r="760" spans="2:2" ht="14.25" customHeight="1" x14ac:dyDescent="0.2">
      <c r="B760" s="44"/>
    </row>
    <row r="761" spans="2:2" ht="14.25" customHeight="1" x14ac:dyDescent="0.2">
      <c r="B761" s="44"/>
    </row>
    <row r="762" spans="2:2" ht="14.25" customHeight="1" x14ac:dyDescent="0.2">
      <c r="B762" s="44"/>
    </row>
    <row r="763" spans="2:2" ht="14.25" customHeight="1" x14ac:dyDescent="0.2">
      <c r="B763" s="44"/>
    </row>
    <row r="764" spans="2:2" ht="14.25" customHeight="1" x14ac:dyDescent="0.2">
      <c r="B764" s="44"/>
    </row>
    <row r="765" spans="2:2" ht="14.25" customHeight="1" x14ac:dyDescent="0.2">
      <c r="B765" s="44"/>
    </row>
    <row r="766" spans="2:2" ht="14.25" customHeight="1" x14ac:dyDescent="0.2">
      <c r="B766" s="44"/>
    </row>
    <row r="767" spans="2:2" ht="14.25" customHeight="1" x14ac:dyDescent="0.2">
      <c r="B767" s="44"/>
    </row>
    <row r="768" spans="2:2" ht="14.25" customHeight="1" x14ac:dyDescent="0.2">
      <c r="B768" s="44"/>
    </row>
    <row r="769" spans="2:2" ht="14.25" customHeight="1" x14ac:dyDescent="0.2">
      <c r="B769" s="44"/>
    </row>
    <row r="770" spans="2:2" ht="14.25" customHeight="1" x14ac:dyDescent="0.2">
      <c r="B770" s="44"/>
    </row>
    <row r="771" spans="2:2" ht="14.25" customHeight="1" x14ac:dyDescent="0.2">
      <c r="B771" s="44"/>
    </row>
    <row r="772" spans="2:2" ht="14.25" customHeight="1" x14ac:dyDescent="0.2">
      <c r="B772" s="44"/>
    </row>
    <row r="773" spans="2:2" ht="14.25" customHeight="1" x14ac:dyDescent="0.2">
      <c r="B773" s="44"/>
    </row>
    <row r="774" spans="2:2" ht="14.25" customHeight="1" x14ac:dyDescent="0.2">
      <c r="B774" s="44"/>
    </row>
    <row r="775" spans="2:2" ht="14.25" customHeight="1" x14ac:dyDescent="0.2">
      <c r="B775" s="44"/>
    </row>
    <row r="776" spans="2:2" ht="14.25" customHeight="1" x14ac:dyDescent="0.2">
      <c r="B776" s="44"/>
    </row>
    <row r="777" spans="2:2" ht="14.25" customHeight="1" x14ac:dyDescent="0.2">
      <c r="B777" s="44"/>
    </row>
    <row r="778" spans="2:2" ht="14.25" customHeight="1" x14ac:dyDescent="0.2">
      <c r="B778" s="44"/>
    </row>
    <row r="779" spans="2:2" ht="14.25" customHeight="1" x14ac:dyDescent="0.2">
      <c r="B779" s="44"/>
    </row>
    <row r="780" spans="2:2" ht="14.25" customHeight="1" x14ac:dyDescent="0.2">
      <c r="B780" s="44"/>
    </row>
    <row r="781" spans="2:2" ht="14.25" customHeight="1" x14ac:dyDescent="0.2">
      <c r="B781" s="44"/>
    </row>
    <row r="782" spans="2:2" ht="14.25" customHeight="1" x14ac:dyDescent="0.2">
      <c r="B782" s="44"/>
    </row>
    <row r="783" spans="2:2" ht="14.25" customHeight="1" x14ac:dyDescent="0.2">
      <c r="B783" s="44"/>
    </row>
    <row r="784" spans="2:2" ht="14.25" customHeight="1" x14ac:dyDescent="0.2">
      <c r="B784" s="44"/>
    </row>
    <row r="785" spans="2:2" ht="14.25" customHeight="1" x14ac:dyDescent="0.2">
      <c r="B785" s="44"/>
    </row>
    <row r="786" spans="2:2" ht="14.25" customHeight="1" x14ac:dyDescent="0.2">
      <c r="B786" s="44"/>
    </row>
    <row r="787" spans="2:2" ht="14.25" customHeight="1" x14ac:dyDescent="0.2">
      <c r="B787" s="44"/>
    </row>
    <row r="788" spans="2:2" ht="14.25" customHeight="1" x14ac:dyDescent="0.2">
      <c r="B788" s="44"/>
    </row>
    <row r="789" spans="2:2" ht="14.25" customHeight="1" x14ac:dyDescent="0.2">
      <c r="B789" s="44"/>
    </row>
    <row r="790" spans="2:2" ht="14.25" customHeight="1" x14ac:dyDescent="0.2">
      <c r="B790" s="44"/>
    </row>
    <row r="791" spans="2:2" ht="14.25" customHeight="1" x14ac:dyDescent="0.2">
      <c r="B791" s="44"/>
    </row>
    <row r="792" spans="2:2" ht="14.25" customHeight="1" x14ac:dyDescent="0.2">
      <c r="B792" s="44"/>
    </row>
    <row r="793" spans="2:2" ht="14.25" customHeight="1" x14ac:dyDescent="0.2">
      <c r="B793" s="44"/>
    </row>
    <row r="794" spans="2:2" ht="14.25" customHeight="1" x14ac:dyDescent="0.2">
      <c r="B794" s="44"/>
    </row>
    <row r="795" spans="2:2" ht="14.25" customHeight="1" x14ac:dyDescent="0.2">
      <c r="B795" s="44"/>
    </row>
    <row r="796" spans="2:2" ht="14.25" customHeight="1" x14ac:dyDescent="0.2">
      <c r="B796" s="44"/>
    </row>
    <row r="797" spans="2:2" ht="14.25" customHeight="1" x14ac:dyDescent="0.2">
      <c r="B797" s="44"/>
    </row>
    <row r="798" spans="2:2" ht="14.25" customHeight="1" x14ac:dyDescent="0.2">
      <c r="B798" s="44"/>
    </row>
    <row r="799" spans="2:2" ht="14.25" customHeight="1" x14ac:dyDescent="0.2">
      <c r="B799" s="44"/>
    </row>
    <row r="800" spans="2:2" ht="14.25" customHeight="1" x14ac:dyDescent="0.2">
      <c r="B800" s="44"/>
    </row>
    <row r="801" spans="2:2" ht="14.25" customHeight="1" x14ac:dyDescent="0.2">
      <c r="B801" s="44"/>
    </row>
    <row r="802" spans="2:2" ht="14.25" customHeight="1" x14ac:dyDescent="0.2">
      <c r="B802" s="44"/>
    </row>
    <row r="803" spans="2:2" ht="14.25" customHeight="1" x14ac:dyDescent="0.2">
      <c r="B803" s="44"/>
    </row>
    <row r="804" spans="2:2" ht="14.25" customHeight="1" x14ac:dyDescent="0.2">
      <c r="B804" s="44"/>
    </row>
    <row r="805" spans="2:2" ht="14.25" customHeight="1" x14ac:dyDescent="0.2">
      <c r="B805" s="44"/>
    </row>
    <row r="806" spans="2:2" ht="14.25" customHeight="1" x14ac:dyDescent="0.2">
      <c r="B806" s="44"/>
    </row>
    <row r="807" spans="2:2" ht="14.25" customHeight="1" x14ac:dyDescent="0.2">
      <c r="B807" s="44"/>
    </row>
    <row r="808" spans="2:2" ht="14.25" customHeight="1" x14ac:dyDescent="0.2">
      <c r="B808" s="44"/>
    </row>
    <row r="809" spans="2:2" ht="14.25" customHeight="1" x14ac:dyDescent="0.2">
      <c r="B809" s="44"/>
    </row>
    <row r="810" spans="2:2" ht="14.25" customHeight="1" x14ac:dyDescent="0.2">
      <c r="B810" s="44"/>
    </row>
    <row r="811" spans="2:2" ht="14.25" customHeight="1" x14ac:dyDescent="0.2">
      <c r="B811" s="44"/>
    </row>
    <row r="812" spans="2:2" ht="14.25" customHeight="1" x14ac:dyDescent="0.2">
      <c r="B812" s="44"/>
    </row>
    <row r="813" spans="2:2" ht="14.25" customHeight="1" x14ac:dyDescent="0.2">
      <c r="B813" s="44"/>
    </row>
    <row r="814" spans="2:2" ht="14.25" customHeight="1" x14ac:dyDescent="0.2">
      <c r="B814" s="44"/>
    </row>
    <row r="815" spans="2:2" ht="14.25" customHeight="1" x14ac:dyDescent="0.2">
      <c r="B815" s="44"/>
    </row>
    <row r="816" spans="2:2" ht="14.25" customHeight="1" x14ac:dyDescent="0.2">
      <c r="B816" s="44"/>
    </row>
    <row r="817" spans="2:2" ht="14.25" customHeight="1" x14ac:dyDescent="0.2">
      <c r="B817" s="44"/>
    </row>
    <row r="818" spans="2:2" ht="14.25" customHeight="1" x14ac:dyDescent="0.2">
      <c r="B818" s="44"/>
    </row>
    <row r="819" spans="2:2" ht="14.25" customHeight="1" x14ac:dyDescent="0.2">
      <c r="B819" s="44"/>
    </row>
    <row r="820" spans="2:2" ht="14.25" customHeight="1" x14ac:dyDescent="0.2">
      <c r="B820" s="44"/>
    </row>
    <row r="821" spans="2:2" ht="14.25" customHeight="1" x14ac:dyDescent="0.2">
      <c r="B821" s="44"/>
    </row>
    <row r="822" spans="2:2" ht="14.25" customHeight="1" x14ac:dyDescent="0.2">
      <c r="B822" s="44"/>
    </row>
    <row r="823" spans="2:2" ht="14.25" customHeight="1" x14ac:dyDescent="0.2">
      <c r="B823" s="44"/>
    </row>
    <row r="824" spans="2:2" ht="14.25" customHeight="1" x14ac:dyDescent="0.2">
      <c r="B824" s="44"/>
    </row>
    <row r="825" spans="2:2" ht="14.25" customHeight="1" x14ac:dyDescent="0.2">
      <c r="B825" s="44"/>
    </row>
    <row r="826" spans="2:2" ht="14.25" customHeight="1" x14ac:dyDescent="0.2">
      <c r="B826" s="44"/>
    </row>
    <row r="827" spans="2:2" ht="14.25" customHeight="1" x14ac:dyDescent="0.2">
      <c r="B827" s="44"/>
    </row>
    <row r="828" spans="2:2" ht="14.25" customHeight="1" x14ac:dyDescent="0.2">
      <c r="B828" s="44"/>
    </row>
    <row r="829" spans="2:2" ht="14.25" customHeight="1" x14ac:dyDescent="0.2">
      <c r="B829" s="44"/>
    </row>
    <row r="830" spans="2:2" ht="14.25" customHeight="1" x14ac:dyDescent="0.2">
      <c r="B830" s="44"/>
    </row>
    <row r="831" spans="2:2" ht="14.25" customHeight="1" x14ac:dyDescent="0.2">
      <c r="B831" s="44"/>
    </row>
    <row r="832" spans="2:2" ht="14.25" customHeight="1" x14ac:dyDescent="0.2">
      <c r="B832" s="44"/>
    </row>
    <row r="833" spans="2:2" ht="14.25" customHeight="1" x14ac:dyDescent="0.2">
      <c r="B833" s="44"/>
    </row>
    <row r="834" spans="2:2" ht="14.25" customHeight="1" x14ac:dyDescent="0.2">
      <c r="B834" s="44"/>
    </row>
    <row r="835" spans="2:2" ht="14.25" customHeight="1" x14ac:dyDescent="0.2">
      <c r="B835" s="44"/>
    </row>
    <row r="836" spans="2:2" ht="14.25" customHeight="1" x14ac:dyDescent="0.2">
      <c r="B836" s="44"/>
    </row>
    <row r="837" spans="2:2" ht="14.25" customHeight="1" x14ac:dyDescent="0.2">
      <c r="B837" s="44"/>
    </row>
    <row r="838" spans="2:2" ht="14.25" customHeight="1" x14ac:dyDescent="0.2">
      <c r="B838" s="44"/>
    </row>
    <row r="839" spans="2:2" ht="14.25" customHeight="1" x14ac:dyDescent="0.2">
      <c r="B839" s="44"/>
    </row>
    <row r="840" spans="2:2" ht="14.25" customHeight="1" x14ac:dyDescent="0.2">
      <c r="B840" s="44"/>
    </row>
    <row r="841" spans="2:2" ht="14.25" customHeight="1" x14ac:dyDescent="0.2">
      <c r="B841" s="44"/>
    </row>
    <row r="842" spans="2:2" ht="14.25" customHeight="1" x14ac:dyDescent="0.2">
      <c r="B842" s="44"/>
    </row>
    <row r="843" spans="2:2" ht="14.25" customHeight="1" x14ac:dyDescent="0.2">
      <c r="B843" s="44"/>
    </row>
    <row r="844" spans="2:2" ht="14.25" customHeight="1" x14ac:dyDescent="0.2">
      <c r="B844" s="44"/>
    </row>
    <row r="845" spans="2:2" ht="14.25" customHeight="1" x14ac:dyDescent="0.2">
      <c r="B845" s="44"/>
    </row>
    <row r="846" spans="2:2" ht="14.25" customHeight="1" x14ac:dyDescent="0.2">
      <c r="B846" s="44"/>
    </row>
    <row r="847" spans="2:2" ht="14.25" customHeight="1" x14ac:dyDescent="0.2">
      <c r="B847" s="44"/>
    </row>
    <row r="848" spans="2:2" ht="14.25" customHeight="1" x14ac:dyDescent="0.2">
      <c r="B848" s="44"/>
    </row>
    <row r="849" spans="2:2" ht="14.25" customHeight="1" x14ac:dyDescent="0.2">
      <c r="B849" s="44"/>
    </row>
    <row r="850" spans="2:2" ht="14.25" customHeight="1" x14ac:dyDescent="0.2">
      <c r="B850" s="44"/>
    </row>
    <row r="851" spans="2:2" ht="14.25" customHeight="1" x14ac:dyDescent="0.2">
      <c r="B851" s="44"/>
    </row>
    <row r="852" spans="2:2" ht="14.25" customHeight="1" x14ac:dyDescent="0.2">
      <c r="B852" s="44"/>
    </row>
    <row r="853" spans="2:2" ht="14.25" customHeight="1" x14ac:dyDescent="0.2">
      <c r="B853" s="44"/>
    </row>
    <row r="854" spans="2:2" ht="14.25" customHeight="1" x14ac:dyDescent="0.2">
      <c r="B854" s="44"/>
    </row>
    <row r="855" spans="2:2" ht="14.25" customHeight="1" x14ac:dyDescent="0.2">
      <c r="B855" s="44"/>
    </row>
    <row r="856" spans="2:2" ht="14.25" customHeight="1" x14ac:dyDescent="0.2">
      <c r="B856" s="44"/>
    </row>
    <row r="857" spans="2:2" ht="14.25" customHeight="1" x14ac:dyDescent="0.2">
      <c r="B857" s="44"/>
    </row>
    <row r="858" spans="2:2" ht="14.25" customHeight="1" x14ac:dyDescent="0.2">
      <c r="B858" s="44"/>
    </row>
    <row r="859" spans="2:2" ht="14.25" customHeight="1" x14ac:dyDescent="0.2">
      <c r="B859" s="44"/>
    </row>
    <row r="860" spans="2:2" ht="14.25" customHeight="1" x14ac:dyDescent="0.2">
      <c r="B860" s="44"/>
    </row>
    <row r="861" spans="2:2" ht="14.25" customHeight="1" x14ac:dyDescent="0.2">
      <c r="B861" s="44"/>
    </row>
    <row r="862" spans="2:2" ht="14.25" customHeight="1" x14ac:dyDescent="0.2">
      <c r="B862" s="44"/>
    </row>
    <row r="863" spans="2:2" ht="14.25" customHeight="1" x14ac:dyDescent="0.2">
      <c r="B863" s="44"/>
    </row>
    <row r="864" spans="2:2" ht="14.25" customHeight="1" x14ac:dyDescent="0.2">
      <c r="B864" s="44"/>
    </row>
    <row r="865" spans="2:2" ht="14.25" customHeight="1" x14ac:dyDescent="0.2">
      <c r="B865" s="44"/>
    </row>
    <row r="866" spans="2:2" ht="14.25" customHeight="1" x14ac:dyDescent="0.2">
      <c r="B866" s="44"/>
    </row>
    <row r="867" spans="2:2" ht="14.25" customHeight="1" x14ac:dyDescent="0.2">
      <c r="B867" s="44"/>
    </row>
    <row r="868" spans="2:2" ht="14.25" customHeight="1" x14ac:dyDescent="0.2">
      <c r="B868" s="44"/>
    </row>
    <row r="869" spans="2:2" ht="14.25" customHeight="1" x14ac:dyDescent="0.2">
      <c r="B869" s="44"/>
    </row>
    <row r="870" spans="2:2" ht="14.25" customHeight="1" x14ac:dyDescent="0.2">
      <c r="B870" s="44"/>
    </row>
    <row r="871" spans="2:2" ht="14.25" customHeight="1" x14ac:dyDescent="0.2">
      <c r="B871" s="44"/>
    </row>
    <row r="872" spans="2:2" ht="14.25" customHeight="1" x14ac:dyDescent="0.2">
      <c r="B872" s="44"/>
    </row>
    <row r="873" spans="2:2" ht="14.25" customHeight="1" x14ac:dyDescent="0.2">
      <c r="B873" s="44"/>
    </row>
    <row r="874" spans="2:2" ht="14.25" customHeight="1" x14ac:dyDescent="0.2">
      <c r="B874" s="44"/>
    </row>
    <row r="875" spans="2:2" ht="14.25" customHeight="1" x14ac:dyDescent="0.2">
      <c r="B875" s="44"/>
    </row>
    <row r="876" spans="2:2" ht="14.25" customHeight="1" x14ac:dyDescent="0.2">
      <c r="B876" s="44"/>
    </row>
    <row r="877" spans="2:2" ht="14.25" customHeight="1" x14ac:dyDescent="0.2">
      <c r="B877" s="44"/>
    </row>
    <row r="878" spans="2:2" ht="14.25" customHeight="1" x14ac:dyDescent="0.2">
      <c r="B878" s="44"/>
    </row>
    <row r="879" spans="2:2" ht="14.25" customHeight="1" x14ac:dyDescent="0.2">
      <c r="B879" s="44"/>
    </row>
    <row r="880" spans="2:2" ht="14.25" customHeight="1" x14ac:dyDescent="0.2">
      <c r="B880" s="44"/>
    </row>
    <row r="881" spans="2:2" ht="14.25" customHeight="1" x14ac:dyDescent="0.2">
      <c r="B881" s="44"/>
    </row>
    <row r="882" spans="2:2" ht="14.25" customHeight="1" x14ac:dyDescent="0.2">
      <c r="B882" s="44"/>
    </row>
    <row r="883" spans="2:2" ht="14.25" customHeight="1" x14ac:dyDescent="0.2">
      <c r="B883" s="44"/>
    </row>
    <row r="884" spans="2:2" ht="14.25" customHeight="1" x14ac:dyDescent="0.2">
      <c r="B884" s="44"/>
    </row>
    <row r="885" spans="2:2" ht="14.25" customHeight="1" x14ac:dyDescent="0.2">
      <c r="B885" s="44"/>
    </row>
    <row r="886" spans="2:2" ht="14.25" customHeight="1" x14ac:dyDescent="0.2">
      <c r="B886" s="44"/>
    </row>
    <row r="887" spans="2:2" ht="14.25" customHeight="1" x14ac:dyDescent="0.2">
      <c r="B887" s="44"/>
    </row>
    <row r="888" spans="2:2" ht="14.25" customHeight="1" x14ac:dyDescent="0.2">
      <c r="B888" s="44"/>
    </row>
    <row r="889" spans="2:2" ht="14.25" customHeight="1" x14ac:dyDescent="0.2">
      <c r="B889" s="44"/>
    </row>
    <row r="890" spans="2:2" ht="14.25" customHeight="1" x14ac:dyDescent="0.2">
      <c r="B890" s="44"/>
    </row>
    <row r="891" spans="2:2" ht="14.25" customHeight="1" x14ac:dyDescent="0.2">
      <c r="B891" s="44"/>
    </row>
    <row r="892" spans="2:2" ht="14.25" customHeight="1" x14ac:dyDescent="0.2">
      <c r="B892" s="44"/>
    </row>
    <row r="893" spans="2:2" ht="14.25" customHeight="1" x14ac:dyDescent="0.2">
      <c r="B893" s="44"/>
    </row>
    <row r="894" spans="2:2" ht="14.25" customHeight="1" x14ac:dyDescent="0.2">
      <c r="B894" s="44"/>
    </row>
    <row r="895" spans="2:2" ht="14.25" customHeight="1" x14ac:dyDescent="0.2">
      <c r="B895" s="44"/>
    </row>
    <row r="896" spans="2:2" ht="14.25" customHeight="1" x14ac:dyDescent="0.2">
      <c r="B896" s="44"/>
    </row>
    <row r="897" spans="2:2" ht="14.25" customHeight="1" x14ac:dyDescent="0.2">
      <c r="B897" s="44"/>
    </row>
    <row r="898" spans="2:2" ht="14.25" customHeight="1" x14ac:dyDescent="0.2">
      <c r="B898" s="44"/>
    </row>
    <row r="899" spans="2:2" ht="14.25" customHeight="1" x14ac:dyDescent="0.2">
      <c r="B899" s="44"/>
    </row>
    <row r="900" spans="2:2" ht="14.25" customHeight="1" x14ac:dyDescent="0.2">
      <c r="B900" s="44"/>
    </row>
    <row r="901" spans="2:2" ht="14.25" customHeight="1" x14ac:dyDescent="0.2">
      <c r="B901" s="44"/>
    </row>
    <row r="902" spans="2:2" ht="14.25" customHeight="1" x14ac:dyDescent="0.2">
      <c r="B902" s="44"/>
    </row>
    <row r="903" spans="2:2" ht="14.25" customHeight="1" x14ac:dyDescent="0.2">
      <c r="B903" s="44"/>
    </row>
    <row r="904" spans="2:2" ht="14.25" customHeight="1" x14ac:dyDescent="0.2">
      <c r="B904" s="44"/>
    </row>
    <row r="905" spans="2:2" ht="14.25" customHeight="1" x14ac:dyDescent="0.2">
      <c r="B905" s="44"/>
    </row>
    <row r="906" spans="2:2" ht="14.25" customHeight="1" x14ac:dyDescent="0.2">
      <c r="B906" s="44"/>
    </row>
    <row r="907" spans="2:2" ht="14.25" customHeight="1" x14ac:dyDescent="0.2">
      <c r="B907" s="44"/>
    </row>
    <row r="908" spans="2:2" ht="14.25" customHeight="1" x14ac:dyDescent="0.2">
      <c r="B908" s="44"/>
    </row>
    <row r="909" spans="2:2" ht="14.25" customHeight="1" x14ac:dyDescent="0.2">
      <c r="B909" s="44"/>
    </row>
    <row r="910" spans="2:2" ht="14.25" customHeight="1" x14ac:dyDescent="0.2">
      <c r="B910" s="44"/>
    </row>
    <row r="911" spans="2:2" ht="14.25" customHeight="1" x14ac:dyDescent="0.2">
      <c r="B911" s="44"/>
    </row>
    <row r="912" spans="2:2" ht="14.25" customHeight="1" x14ac:dyDescent="0.2">
      <c r="B912" s="44"/>
    </row>
    <row r="913" spans="2:2" ht="14.25" customHeight="1" x14ac:dyDescent="0.2">
      <c r="B913" s="44"/>
    </row>
    <row r="914" spans="2:2" ht="14.25" customHeight="1" x14ac:dyDescent="0.2">
      <c r="B914" s="44"/>
    </row>
    <row r="915" spans="2:2" ht="14.25" customHeight="1" x14ac:dyDescent="0.2">
      <c r="B915" s="44"/>
    </row>
    <row r="916" spans="2:2" ht="14.25" customHeight="1" x14ac:dyDescent="0.2">
      <c r="B916" s="44"/>
    </row>
    <row r="917" spans="2:2" ht="14.25" customHeight="1" x14ac:dyDescent="0.2">
      <c r="B917" s="44"/>
    </row>
    <row r="918" spans="2:2" ht="14.25" customHeight="1" x14ac:dyDescent="0.2">
      <c r="B918" s="44"/>
    </row>
    <row r="919" spans="2:2" ht="14.25" customHeight="1" x14ac:dyDescent="0.2">
      <c r="B919" s="44"/>
    </row>
    <row r="920" spans="2:2" ht="14.25" customHeight="1" x14ac:dyDescent="0.2">
      <c r="B920" s="44"/>
    </row>
    <row r="921" spans="2:2" ht="14.25" customHeight="1" x14ac:dyDescent="0.2">
      <c r="B921" s="44"/>
    </row>
    <row r="922" spans="2:2" ht="14.25" customHeight="1" x14ac:dyDescent="0.2">
      <c r="B922" s="44"/>
    </row>
    <row r="923" spans="2:2" ht="14.25" customHeight="1" x14ac:dyDescent="0.2">
      <c r="B923" s="44"/>
    </row>
    <row r="924" spans="2:2" ht="14.25" customHeight="1" x14ac:dyDescent="0.2">
      <c r="B924" s="44"/>
    </row>
    <row r="925" spans="2:2" ht="14.25" customHeight="1" x14ac:dyDescent="0.2">
      <c r="B925" s="44"/>
    </row>
    <row r="926" spans="2:2" ht="14.25" customHeight="1" x14ac:dyDescent="0.2">
      <c r="B926" s="44"/>
    </row>
    <row r="927" spans="2:2" ht="14.25" customHeight="1" x14ac:dyDescent="0.2">
      <c r="B927" s="44"/>
    </row>
    <row r="928" spans="2:2" ht="14.25" customHeight="1" x14ac:dyDescent="0.2">
      <c r="B928" s="44"/>
    </row>
    <row r="929" spans="2:2" ht="14.25" customHeight="1" x14ac:dyDescent="0.2">
      <c r="B929" s="44"/>
    </row>
    <row r="930" spans="2:2" ht="14.25" customHeight="1" x14ac:dyDescent="0.2">
      <c r="B930" s="44"/>
    </row>
    <row r="931" spans="2:2" ht="14.25" customHeight="1" x14ac:dyDescent="0.2">
      <c r="B931" s="44"/>
    </row>
    <row r="932" spans="2:2" ht="14.25" customHeight="1" x14ac:dyDescent="0.2">
      <c r="B932" s="44"/>
    </row>
    <row r="933" spans="2:2" ht="14.25" customHeight="1" x14ac:dyDescent="0.2">
      <c r="B933" s="44"/>
    </row>
    <row r="934" spans="2:2" ht="14.25" customHeight="1" x14ac:dyDescent="0.2">
      <c r="B934" s="44"/>
    </row>
    <row r="935" spans="2:2" ht="14.25" customHeight="1" x14ac:dyDescent="0.2">
      <c r="B935" s="44"/>
    </row>
    <row r="936" spans="2:2" ht="14.25" customHeight="1" x14ac:dyDescent="0.2">
      <c r="B936" s="44"/>
    </row>
    <row r="937" spans="2:2" ht="14.25" customHeight="1" x14ac:dyDescent="0.2">
      <c r="B937" s="44"/>
    </row>
    <row r="938" spans="2:2" ht="14.25" customHeight="1" x14ac:dyDescent="0.2">
      <c r="B938" s="44"/>
    </row>
    <row r="939" spans="2:2" ht="14.25" customHeight="1" x14ac:dyDescent="0.2">
      <c r="B939" s="44"/>
    </row>
    <row r="940" spans="2:2" ht="14.25" customHeight="1" x14ac:dyDescent="0.2">
      <c r="B940" s="44"/>
    </row>
    <row r="941" spans="2:2" ht="14.25" customHeight="1" x14ac:dyDescent="0.2">
      <c r="B941" s="44"/>
    </row>
    <row r="942" spans="2:2" ht="14.25" customHeight="1" x14ac:dyDescent="0.2">
      <c r="B942" s="44"/>
    </row>
    <row r="943" spans="2:2" ht="14.25" customHeight="1" x14ac:dyDescent="0.2">
      <c r="B943" s="44"/>
    </row>
    <row r="944" spans="2:2" ht="14.25" customHeight="1" x14ac:dyDescent="0.2">
      <c r="B944" s="44"/>
    </row>
    <row r="945" spans="2:2" ht="14.25" customHeight="1" x14ac:dyDescent="0.2">
      <c r="B945" s="44"/>
    </row>
    <row r="946" spans="2:2" ht="14.25" customHeight="1" x14ac:dyDescent="0.2">
      <c r="B946" s="44"/>
    </row>
    <row r="947" spans="2:2" ht="14.25" customHeight="1" x14ac:dyDescent="0.2">
      <c r="B947" s="44"/>
    </row>
    <row r="948" spans="2:2" ht="14.25" customHeight="1" x14ac:dyDescent="0.2">
      <c r="B948" s="44"/>
    </row>
    <row r="949" spans="2:2" ht="14.25" customHeight="1" x14ac:dyDescent="0.2">
      <c r="B949" s="44"/>
    </row>
    <row r="950" spans="2:2" ht="14.25" customHeight="1" x14ac:dyDescent="0.2">
      <c r="B950" s="44"/>
    </row>
    <row r="951" spans="2:2" ht="14.25" customHeight="1" x14ac:dyDescent="0.2">
      <c r="B951" s="44"/>
    </row>
    <row r="952" spans="2:2" ht="14.25" customHeight="1" x14ac:dyDescent="0.2">
      <c r="B952" s="44"/>
    </row>
    <row r="953" spans="2:2" ht="14.25" customHeight="1" x14ac:dyDescent="0.2">
      <c r="B953" s="44"/>
    </row>
    <row r="954" spans="2:2" ht="14.25" customHeight="1" x14ac:dyDescent="0.2">
      <c r="B954" s="44"/>
    </row>
    <row r="955" spans="2:2" ht="14.25" customHeight="1" x14ac:dyDescent="0.2">
      <c r="B955" s="44"/>
    </row>
    <row r="956" spans="2:2" ht="14.25" customHeight="1" x14ac:dyDescent="0.2">
      <c r="B956" s="44"/>
    </row>
    <row r="957" spans="2:2" ht="14.25" customHeight="1" x14ac:dyDescent="0.2">
      <c r="B957" s="44"/>
    </row>
    <row r="958" spans="2:2" ht="14.25" customHeight="1" x14ac:dyDescent="0.2">
      <c r="B958" s="44"/>
    </row>
    <row r="959" spans="2:2" ht="14.25" customHeight="1" x14ac:dyDescent="0.2">
      <c r="B959" s="44"/>
    </row>
    <row r="960" spans="2:2" ht="14.25" customHeight="1" x14ac:dyDescent="0.2">
      <c r="B960" s="44"/>
    </row>
    <row r="961" spans="2:2" ht="14.25" customHeight="1" x14ac:dyDescent="0.2">
      <c r="B961" s="44"/>
    </row>
    <row r="962" spans="2:2" ht="14.25" customHeight="1" x14ac:dyDescent="0.2">
      <c r="B962" s="44"/>
    </row>
    <row r="963" spans="2:2" ht="14.25" customHeight="1" x14ac:dyDescent="0.2">
      <c r="B963" s="44"/>
    </row>
    <row r="964" spans="2:2" ht="14.25" customHeight="1" x14ac:dyDescent="0.2">
      <c r="B964" s="44"/>
    </row>
    <row r="965" spans="2:2" ht="14.25" customHeight="1" x14ac:dyDescent="0.2">
      <c r="B965" s="44"/>
    </row>
    <row r="966" spans="2:2" ht="14.25" customHeight="1" x14ac:dyDescent="0.2">
      <c r="B966" s="44"/>
    </row>
    <row r="967" spans="2:2" ht="14.25" customHeight="1" x14ac:dyDescent="0.2">
      <c r="B967" s="44"/>
    </row>
    <row r="968" spans="2:2" ht="14.25" customHeight="1" x14ac:dyDescent="0.2">
      <c r="B968" s="44"/>
    </row>
    <row r="969" spans="2:2" ht="14.25" customHeight="1" x14ac:dyDescent="0.2">
      <c r="B969" s="44"/>
    </row>
    <row r="970" spans="2:2" ht="14.25" customHeight="1" x14ac:dyDescent="0.2">
      <c r="B970" s="44"/>
    </row>
    <row r="971" spans="2:2" ht="14.25" customHeight="1" x14ac:dyDescent="0.2">
      <c r="B971" s="44"/>
    </row>
    <row r="972" spans="2:2" ht="14.25" customHeight="1" x14ac:dyDescent="0.2">
      <c r="B972" s="44"/>
    </row>
    <row r="973" spans="2:2" ht="14.25" customHeight="1" x14ac:dyDescent="0.2">
      <c r="B973" s="44"/>
    </row>
    <row r="974" spans="2:2" ht="14.25" customHeight="1" x14ac:dyDescent="0.2">
      <c r="B974" s="44"/>
    </row>
    <row r="975" spans="2:2" ht="14.25" customHeight="1" x14ac:dyDescent="0.2">
      <c r="B975" s="44"/>
    </row>
    <row r="976" spans="2:2" ht="14.25" customHeight="1" x14ac:dyDescent="0.2">
      <c r="B976" s="44"/>
    </row>
    <row r="977" spans="2:2" ht="14.25" customHeight="1" x14ac:dyDescent="0.2">
      <c r="B977" s="44"/>
    </row>
    <row r="978" spans="2:2" ht="14.25" customHeight="1" x14ac:dyDescent="0.2">
      <c r="B978" s="44"/>
    </row>
    <row r="979" spans="2:2" ht="14.25" customHeight="1" x14ac:dyDescent="0.2">
      <c r="B979" s="44"/>
    </row>
    <row r="980" spans="2:2" ht="14.25" customHeight="1" x14ac:dyDescent="0.2">
      <c r="B980" s="44"/>
    </row>
    <row r="981" spans="2:2" ht="14.25" customHeight="1" x14ac:dyDescent="0.2">
      <c r="B981" s="44"/>
    </row>
    <row r="982" spans="2:2" ht="14.25" customHeight="1" x14ac:dyDescent="0.2">
      <c r="B982" s="44"/>
    </row>
    <row r="983" spans="2:2" ht="14.25" customHeight="1" x14ac:dyDescent="0.2">
      <c r="B983" s="44"/>
    </row>
    <row r="984" spans="2:2" ht="14.25" customHeight="1" x14ac:dyDescent="0.2">
      <c r="B984" s="44"/>
    </row>
    <row r="985" spans="2:2" ht="14.25" customHeight="1" x14ac:dyDescent="0.2">
      <c r="B985" s="44"/>
    </row>
    <row r="986" spans="2:2" ht="14.25" customHeight="1" x14ac:dyDescent="0.2">
      <c r="B986" s="44"/>
    </row>
    <row r="987" spans="2:2" ht="14.25" customHeight="1" x14ac:dyDescent="0.2">
      <c r="B987" s="44"/>
    </row>
    <row r="988" spans="2:2" ht="14.25" customHeight="1" x14ac:dyDescent="0.2">
      <c r="B988" s="44"/>
    </row>
    <row r="989" spans="2:2" ht="14.25" customHeight="1" x14ac:dyDescent="0.2">
      <c r="B989" s="44"/>
    </row>
    <row r="990" spans="2:2" ht="14.25" customHeight="1" x14ac:dyDescent="0.2">
      <c r="B990" s="44"/>
    </row>
    <row r="991" spans="2:2" ht="14.25" customHeight="1" x14ac:dyDescent="0.2">
      <c r="B991" s="44"/>
    </row>
    <row r="992" spans="2:2" ht="14.25" customHeight="1" x14ac:dyDescent="0.2">
      <c r="B992" s="44"/>
    </row>
    <row r="993" spans="2:2" ht="14.25" customHeight="1" x14ac:dyDescent="0.2">
      <c r="B993" s="44"/>
    </row>
    <row r="994" spans="2:2" ht="14.25" customHeight="1" x14ac:dyDescent="0.2">
      <c r="B994" s="44"/>
    </row>
    <row r="995" spans="2:2" ht="14.25" customHeight="1" x14ac:dyDescent="0.2">
      <c r="B995" s="44"/>
    </row>
    <row r="996" spans="2:2" ht="14.25" customHeight="1" x14ac:dyDescent="0.2">
      <c r="B996" s="44"/>
    </row>
    <row r="997" spans="2:2" ht="14.25" customHeight="1" x14ac:dyDescent="0.2">
      <c r="B997" s="44"/>
    </row>
    <row r="998" spans="2:2" ht="14.25" customHeight="1" x14ac:dyDescent="0.2">
      <c r="B998" s="44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G99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2.6640625" defaultRowHeight="15" customHeight="1" x14ac:dyDescent="0.2"/>
  <cols>
    <col min="1" max="1" width="20.5" customWidth="1"/>
    <col min="2" max="2" width="14" customWidth="1"/>
    <col min="3" max="3" width="12.83203125" customWidth="1"/>
    <col min="4" max="4" width="10.5" customWidth="1"/>
    <col min="5" max="5" width="9.6640625" customWidth="1"/>
    <col min="6" max="6" width="11.6640625" customWidth="1"/>
    <col min="7" max="9" width="15.1640625" customWidth="1"/>
    <col min="10" max="10" width="16.1640625" customWidth="1"/>
    <col min="11" max="12" width="15.1640625" customWidth="1"/>
    <col min="13" max="13" width="16.1640625" customWidth="1"/>
    <col min="14" max="17" width="15.1640625" customWidth="1"/>
    <col min="18" max="18" width="17.1640625" customWidth="1"/>
    <col min="19" max="30" width="15.1640625" customWidth="1"/>
    <col min="31" max="31" width="18.6640625" customWidth="1"/>
    <col min="32" max="32" width="16.5" customWidth="1"/>
  </cols>
  <sheetData>
    <row r="1" spans="1:33" x14ac:dyDescent="0.2">
      <c r="A1" s="52" t="s">
        <v>41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52"/>
      <c r="AF1" s="13"/>
      <c r="AG1" s="13"/>
    </row>
    <row r="2" spans="1:33" x14ac:dyDescent="0.2">
      <c r="A2" s="53"/>
      <c r="B2" s="53"/>
      <c r="C2" s="54">
        <v>44958</v>
      </c>
      <c r="D2" s="54">
        <v>44986</v>
      </c>
      <c r="E2" s="54">
        <v>45017</v>
      </c>
      <c r="F2" s="54">
        <v>45047</v>
      </c>
      <c r="G2" s="54">
        <v>45078</v>
      </c>
      <c r="H2" s="54">
        <v>45108</v>
      </c>
      <c r="I2" s="54">
        <v>45139</v>
      </c>
      <c r="J2" s="54">
        <v>45170</v>
      </c>
      <c r="K2" s="54">
        <v>45200</v>
      </c>
      <c r="L2" s="54">
        <v>45231</v>
      </c>
      <c r="M2" s="54">
        <v>45261</v>
      </c>
      <c r="N2" s="54">
        <v>45292</v>
      </c>
      <c r="O2" s="54">
        <v>45323</v>
      </c>
      <c r="P2" s="54">
        <v>45352</v>
      </c>
      <c r="Q2" s="54">
        <v>45383</v>
      </c>
      <c r="R2" s="54">
        <v>45413</v>
      </c>
      <c r="S2" s="54">
        <v>45444</v>
      </c>
      <c r="T2" s="54">
        <v>45474</v>
      </c>
      <c r="U2" s="54">
        <v>45505</v>
      </c>
      <c r="V2" s="54">
        <v>45536</v>
      </c>
      <c r="W2" s="54">
        <v>45566</v>
      </c>
      <c r="X2" s="54">
        <v>45597</v>
      </c>
      <c r="Y2" s="54">
        <v>45627</v>
      </c>
      <c r="Z2" s="54">
        <v>45658</v>
      </c>
      <c r="AA2" s="54">
        <v>45689</v>
      </c>
      <c r="AB2" s="54">
        <v>45717</v>
      </c>
      <c r="AC2" s="54">
        <v>45748</v>
      </c>
      <c r="AD2" s="54">
        <v>45778</v>
      </c>
      <c r="AE2" s="54" t="s">
        <v>2</v>
      </c>
      <c r="AF2" s="54"/>
      <c r="AG2" s="54"/>
    </row>
    <row r="3" spans="1:33" x14ac:dyDescent="0.2">
      <c r="A3" s="13" t="s">
        <v>42</v>
      </c>
      <c r="B3" s="13" t="s">
        <v>43</v>
      </c>
      <c r="C3" s="14" t="s">
        <v>6</v>
      </c>
      <c r="D3" s="14" t="s">
        <v>6</v>
      </c>
      <c r="E3" s="14" t="s">
        <v>6</v>
      </c>
      <c r="F3" s="14" t="s">
        <v>6</v>
      </c>
      <c r="G3" s="14" t="s">
        <v>6</v>
      </c>
      <c r="H3" s="14" t="s">
        <v>6</v>
      </c>
      <c r="I3" s="14" t="s">
        <v>6</v>
      </c>
      <c r="J3" s="13">
        <v>0</v>
      </c>
      <c r="K3" s="13">
        <v>674089599.99999976</v>
      </c>
      <c r="L3" s="13">
        <v>788052224.99999976</v>
      </c>
      <c r="M3" s="13">
        <v>526539359.93999982</v>
      </c>
      <c r="N3" s="13">
        <v>1208252953.3899999</v>
      </c>
      <c r="O3" s="13">
        <v>693814214.63999975</v>
      </c>
      <c r="P3" s="13">
        <v>52799349.589999795</v>
      </c>
      <c r="Q3" s="13">
        <v>291072418.38999975</v>
      </c>
      <c r="R3" s="13">
        <v>331141409.63999975</v>
      </c>
      <c r="S3" s="13">
        <v>57796646.589999795</v>
      </c>
      <c r="T3" s="13">
        <v>116548738.48999989</v>
      </c>
      <c r="U3" s="13">
        <v>244213261.78999984</v>
      </c>
      <c r="V3" s="13">
        <v>147268374.68999982</v>
      </c>
      <c r="W3" s="13">
        <v>238598314.08999991</v>
      </c>
      <c r="X3" s="13">
        <v>347837581.51999998</v>
      </c>
      <c r="Y3" s="13">
        <v>190335449.75999999</v>
      </c>
      <c r="Z3" s="13">
        <v>92036080.019999996</v>
      </c>
      <c r="AA3" s="13">
        <v>57011520.520000003</v>
      </c>
      <c r="AB3" s="13">
        <v>1081364000.95</v>
      </c>
      <c r="AC3" s="13">
        <v>2049061896.6199999</v>
      </c>
      <c r="AD3" s="13">
        <v>2079779173.3</v>
      </c>
      <c r="AE3" s="16">
        <f t="shared" ref="AE3:AE6" si="0">SUM(C3:AD3)</f>
        <v>11267612568.929998</v>
      </c>
      <c r="AF3" s="13"/>
      <c r="AG3" s="13"/>
    </row>
    <row r="4" spans="1:33" x14ac:dyDescent="0.2">
      <c r="A4" s="13"/>
      <c r="B4" s="13" t="s">
        <v>44</v>
      </c>
      <c r="C4" s="14" t="s">
        <v>6</v>
      </c>
      <c r="D4" s="14" t="s">
        <v>6</v>
      </c>
      <c r="E4" s="14" t="s">
        <v>6</v>
      </c>
      <c r="F4" s="14" t="s">
        <v>6</v>
      </c>
      <c r="G4" s="14" t="s">
        <v>6</v>
      </c>
      <c r="H4" s="14" t="s">
        <v>6</v>
      </c>
      <c r="I4" s="14" t="s">
        <v>6</v>
      </c>
      <c r="J4" s="13">
        <v>326910400</v>
      </c>
      <c r="K4" s="13">
        <v>886037375</v>
      </c>
      <c r="L4" s="13">
        <v>1261512875</v>
      </c>
      <c r="M4" s="13">
        <v>1103366209</v>
      </c>
      <c r="N4" s="13">
        <v>1734325060</v>
      </c>
      <c r="O4" s="13">
        <v>1350030000</v>
      </c>
      <c r="P4" s="13">
        <v>999034200</v>
      </c>
      <c r="Q4" s="13">
        <v>1400030000</v>
      </c>
      <c r="R4" s="13">
        <v>1550030000</v>
      </c>
      <c r="S4" s="13">
        <v>1140030000</v>
      </c>
      <c r="T4" s="13">
        <v>900030000</v>
      </c>
      <c r="U4" s="13">
        <v>920030000</v>
      </c>
      <c r="V4" s="13">
        <v>1070030000</v>
      </c>
      <c r="W4" s="13">
        <v>1200030000</v>
      </c>
      <c r="X4" s="13">
        <v>1085030000</v>
      </c>
      <c r="Y4" s="13">
        <v>1850030000</v>
      </c>
      <c r="Z4" s="13">
        <v>1350030000</v>
      </c>
      <c r="AA4" s="13">
        <v>652041520</v>
      </c>
      <c r="AB4" s="13">
        <v>800030000</v>
      </c>
      <c r="AC4" s="13">
        <v>900030000</v>
      </c>
      <c r="AD4" s="13">
        <v>1000030000</v>
      </c>
      <c r="AE4" s="16">
        <f t="shared" si="0"/>
        <v>23478647639</v>
      </c>
      <c r="AF4" s="13"/>
      <c r="AG4" s="13"/>
    </row>
    <row r="5" spans="1:33" x14ac:dyDescent="0.2">
      <c r="A5" s="55"/>
      <c r="B5" s="55" t="s">
        <v>45</v>
      </c>
      <c r="C5" s="56" t="s">
        <v>6</v>
      </c>
      <c r="D5" s="56" t="s">
        <v>6</v>
      </c>
      <c r="E5" s="56" t="s">
        <v>6</v>
      </c>
      <c r="F5" s="56" t="s">
        <v>6</v>
      </c>
      <c r="G5" s="56" t="s">
        <v>6</v>
      </c>
      <c r="H5" s="56" t="s">
        <v>6</v>
      </c>
      <c r="I5" s="56" t="s">
        <v>6</v>
      </c>
      <c r="J5" s="55">
        <v>1001000000</v>
      </c>
      <c r="K5" s="55">
        <v>1000000000</v>
      </c>
      <c r="L5" s="55">
        <v>1000000009.9400001</v>
      </c>
      <c r="M5" s="55">
        <v>1785079802.45</v>
      </c>
      <c r="N5" s="55">
        <v>1219886321.25</v>
      </c>
      <c r="O5" s="55">
        <v>709015134.95000005</v>
      </c>
      <c r="P5" s="55">
        <v>1237307268.8</v>
      </c>
      <c r="Q5" s="55">
        <v>1440098991.25</v>
      </c>
      <c r="R5" s="55">
        <v>1276685236.95</v>
      </c>
      <c r="S5" s="55">
        <v>1198782091.9000001</v>
      </c>
      <c r="T5" s="55">
        <v>1027694523.3</v>
      </c>
      <c r="U5" s="55">
        <v>823085112.89999998</v>
      </c>
      <c r="V5" s="55">
        <v>1161359939.4000001</v>
      </c>
      <c r="W5" s="55">
        <v>1309269267.4300001</v>
      </c>
      <c r="X5" s="55">
        <v>927527868.24000001</v>
      </c>
      <c r="Y5" s="55">
        <v>1751730630.26</v>
      </c>
      <c r="Z5" s="55">
        <v>1315005440.5</v>
      </c>
      <c r="AA5" s="55">
        <v>1676394000.4300001</v>
      </c>
      <c r="AB5" s="55">
        <v>1767727895.6700001</v>
      </c>
      <c r="AC5" s="55">
        <v>930747276.67999995</v>
      </c>
      <c r="AD5" s="55">
        <v>889349728.40999997</v>
      </c>
      <c r="AE5" s="57">
        <f t="shared" si="0"/>
        <v>25447746540.709995</v>
      </c>
      <c r="AF5" s="55"/>
      <c r="AG5" s="55"/>
    </row>
    <row r="6" spans="1:33" x14ac:dyDescent="0.2">
      <c r="A6" s="13"/>
      <c r="B6" s="13" t="s">
        <v>46</v>
      </c>
      <c r="C6" s="14" t="s">
        <v>6</v>
      </c>
      <c r="D6" s="14" t="s">
        <v>6</v>
      </c>
      <c r="E6" s="14" t="s">
        <v>6</v>
      </c>
      <c r="F6" s="14" t="s">
        <v>6</v>
      </c>
      <c r="G6" s="14" t="s">
        <v>6</v>
      </c>
      <c r="H6" s="14" t="s">
        <v>6</v>
      </c>
      <c r="I6" s="14" t="s">
        <v>6</v>
      </c>
      <c r="J6" s="13">
        <v>674089599.99999976</v>
      </c>
      <c r="K6" s="13">
        <v>788052224.99999976</v>
      </c>
      <c r="L6" s="13">
        <v>526539359.93999982</v>
      </c>
      <c r="M6" s="13">
        <v>1208252953.3899999</v>
      </c>
      <c r="N6" s="13">
        <v>693814214.63999975</v>
      </c>
      <c r="O6" s="13">
        <v>52799349.589999795</v>
      </c>
      <c r="P6" s="13">
        <v>291072418.38999975</v>
      </c>
      <c r="Q6" s="13">
        <v>331141409.63999975</v>
      </c>
      <c r="R6" s="13">
        <v>57796646.589999795</v>
      </c>
      <c r="S6" s="13">
        <v>116548738.48999989</v>
      </c>
      <c r="T6" s="13">
        <v>244213261.78999984</v>
      </c>
      <c r="U6" s="13">
        <v>147268374.68999982</v>
      </c>
      <c r="V6" s="13">
        <v>238598314.08999991</v>
      </c>
      <c r="W6" s="13">
        <v>347837581.51999998</v>
      </c>
      <c r="X6" s="13">
        <v>190335449.75999999</v>
      </c>
      <c r="Y6" s="13">
        <v>92036080.019999996</v>
      </c>
      <c r="Z6" s="13">
        <v>57011520.520000003</v>
      </c>
      <c r="AA6" s="13">
        <v>1081364000.95</v>
      </c>
      <c r="AB6" s="13">
        <v>2049061896.6199999</v>
      </c>
      <c r="AC6" s="13">
        <v>2079779173.3</v>
      </c>
      <c r="AD6" s="13">
        <v>1969098901.71</v>
      </c>
      <c r="AE6" s="16">
        <f t="shared" si="0"/>
        <v>13236711470.639999</v>
      </c>
      <c r="AF6" s="17">
        <f>AE5-AE4-AC6</f>
        <v>-110680271.59000468</v>
      </c>
      <c r="AG6" s="13"/>
    </row>
    <row r="7" spans="1:33" x14ac:dyDescent="0.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>
        <f>AC6-AC5+AC4-AC3</f>
        <v>0</v>
      </c>
      <c r="AD7" s="13"/>
      <c r="AE7" s="52"/>
      <c r="AF7" s="13"/>
      <c r="AG7" s="13"/>
    </row>
    <row r="8" spans="1:33" x14ac:dyDescent="0.2">
      <c r="A8" s="13" t="s">
        <v>28</v>
      </c>
      <c r="B8" s="13" t="s">
        <v>43</v>
      </c>
      <c r="C8" s="14" t="s">
        <v>6</v>
      </c>
      <c r="D8" s="14" t="s">
        <v>6</v>
      </c>
      <c r="E8" s="14" t="s">
        <v>6</v>
      </c>
      <c r="F8" s="14" t="s">
        <v>6</v>
      </c>
      <c r="G8" s="14" t="s">
        <v>6</v>
      </c>
      <c r="H8" s="14" t="s">
        <v>6</v>
      </c>
      <c r="I8" s="14" t="s">
        <v>6</v>
      </c>
      <c r="J8" s="14" t="s">
        <v>6</v>
      </c>
      <c r="K8" s="14" t="s">
        <v>6</v>
      </c>
      <c r="L8" s="14" t="s">
        <v>6</v>
      </c>
      <c r="M8" s="14" t="s">
        <v>6</v>
      </c>
      <c r="N8" s="13">
        <v>0</v>
      </c>
      <c r="O8" s="13">
        <v>231470093</v>
      </c>
      <c r="P8" s="13">
        <v>23952646</v>
      </c>
      <c r="Q8" s="13">
        <v>139774454</v>
      </c>
      <c r="R8" s="13">
        <v>396203420</v>
      </c>
      <c r="S8" s="13">
        <v>40109811</v>
      </c>
      <c r="T8" s="13">
        <v>291177216</v>
      </c>
      <c r="U8" s="13">
        <v>392453410</v>
      </c>
      <c r="V8" s="13">
        <v>8597178</v>
      </c>
      <c r="W8" s="13">
        <v>105598425</v>
      </c>
      <c r="X8" s="13">
        <v>97674491</v>
      </c>
      <c r="Y8" s="13">
        <v>84861456</v>
      </c>
      <c r="Z8" s="13">
        <v>9358751</v>
      </c>
      <c r="AA8" s="13">
        <v>111468247</v>
      </c>
      <c r="AB8" s="13">
        <v>530096456</v>
      </c>
      <c r="AC8" s="13">
        <v>2730044.8600001335</v>
      </c>
      <c r="AD8" s="13">
        <v>37524759.859999999</v>
      </c>
      <c r="AE8" s="16">
        <f t="shared" ref="AE8:AE11" si="1">SUM(C8:AD8)</f>
        <v>2503050858.7200003</v>
      </c>
      <c r="AF8" s="13"/>
      <c r="AG8" s="13"/>
    </row>
    <row r="9" spans="1:33" x14ac:dyDescent="0.2">
      <c r="A9" s="13"/>
      <c r="B9" s="13" t="s">
        <v>44</v>
      </c>
      <c r="C9" s="14" t="s">
        <v>6</v>
      </c>
      <c r="D9" s="14" t="s">
        <v>6</v>
      </c>
      <c r="E9" s="14" t="s">
        <v>6</v>
      </c>
      <c r="F9" s="14" t="s">
        <v>6</v>
      </c>
      <c r="G9" s="14" t="s">
        <v>6</v>
      </c>
      <c r="H9" s="14" t="s">
        <v>6</v>
      </c>
      <c r="I9" s="14" t="s">
        <v>6</v>
      </c>
      <c r="J9" s="14" t="s">
        <v>6</v>
      </c>
      <c r="K9" s="14" t="s">
        <v>6</v>
      </c>
      <c r="L9" s="14" t="s">
        <v>6</v>
      </c>
      <c r="M9" s="14" t="s">
        <v>6</v>
      </c>
      <c r="N9" s="13">
        <v>774525618</v>
      </c>
      <c r="O9" s="13">
        <v>1562915022</v>
      </c>
      <c r="P9" s="13">
        <v>2055644988</v>
      </c>
      <c r="Q9" s="13">
        <v>2158201354</v>
      </c>
      <c r="R9" s="13">
        <v>1928632468</v>
      </c>
      <c r="S9" s="13">
        <v>1391680360</v>
      </c>
      <c r="T9" s="13">
        <v>2302059317</v>
      </c>
      <c r="U9" s="13">
        <v>2304272631</v>
      </c>
      <c r="V9" s="13">
        <v>1423208486</v>
      </c>
      <c r="W9" s="13">
        <v>2010529837</v>
      </c>
      <c r="X9" s="13">
        <v>2023394189</v>
      </c>
      <c r="Y9" s="13">
        <v>2192134207</v>
      </c>
      <c r="Z9" s="13">
        <v>1661994326</v>
      </c>
      <c r="AA9" s="13">
        <v>1541592406</v>
      </c>
      <c r="AB9" s="13">
        <v>2938962051.1399999</v>
      </c>
      <c r="AC9" s="13">
        <v>1766941239</v>
      </c>
      <c r="AD9" s="13">
        <v>1482419894</v>
      </c>
      <c r="AE9" s="16">
        <f t="shared" si="1"/>
        <v>31519108393.139999</v>
      </c>
      <c r="AF9" s="13"/>
      <c r="AG9" s="13"/>
    </row>
    <row r="10" spans="1:33" x14ac:dyDescent="0.2">
      <c r="A10" s="13"/>
      <c r="B10" s="13" t="s">
        <v>45</v>
      </c>
      <c r="C10" s="14" t="s">
        <v>6</v>
      </c>
      <c r="D10" s="14" t="s">
        <v>6</v>
      </c>
      <c r="E10" s="14" t="s">
        <v>6</v>
      </c>
      <c r="F10" s="14" t="s">
        <v>6</v>
      </c>
      <c r="G10" s="14" t="s">
        <v>6</v>
      </c>
      <c r="H10" s="14" t="s">
        <v>6</v>
      </c>
      <c r="I10" s="14" t="s">
        <v>6</v>
      </c>
      <c r="J10" s="14" t="s">
        <v>6</v>
      </c>
      <c r="K10" s="14" t="s">
        <v>6</v>
      </c>
      <c r="L10" s="14" t="s">
        <v>6</v>
      </c>
      <c r="M10" s="14" t="s">
        <v>6</v>
      </c>
      <c r="N10" s="13">
        <v>1005995711</v>
      </c>
      <c r="O10" s="13">
        <v>1355397575</v>
      </c>
      <c r="P10" s="13">
        <v>2171466796</v>
      </c>
      <c r="Q10" s="13">
        <v>2414630320</v>
      </c>
      <c r="R10" s="13">
        <v>1572538859</v>
      </c>
      <c r="S10" s="13">
        <v>1642747765</v>
      </c>
      <c r="T10" s="13">
        <v>2403335511</v>
      </c>
      <c r="U10" s="13">
        <v>1920416399</v>
      </c>
      <c r="V10" s="13">
        <v>1520209733</v>
      </c>
      <c r="W10" s="13">
        <v>2002605903</v>
      </c>
      <c r="X10" s="13">
        <v>2010581154</v>
      </c>
      <c r="Y10" s="13">
        <v>2116631502</v>
      </c>
      <c r="Z10" s="13">
        <v>1764103822</v>
      </c>
      <c r="AA10" s="13">
        <v>1960220615</v>
      </c>
      <c r="AB10" s="13">
        <v>2411595640</v>
      </c>
      <c r="AC10" s="13">
        <v>1801735954</v>
      </c>
      <c r="AD10" s="13">
        <v>1500000000</v>
      </c>
      <c r="AE10" s="16">
        <f t="shared" si="1"/>
        <v>31574213259</v>
      </c>
      <c r="AF10" s="13"/>
      <c r="AG10" s="13"/>
    </row>
    <row r="11" spans="1:33" x14ac:dyDescent="0.2">
      <c r="A11" s="13"/>
      <c r="B11" s="13" t="s">
        <v>46</v>
      </c>
      <c r="C11" s="14" t="s">
        <v>6</v>
      </c>
      <c r="D11" s="14" t="s">
        <v>6</v>
      </c>
      <c r="E11" s="14" t="s">
        <v>6</v>
      </c>
      <c r="F11" s="14" t="s">
        <v>6</v>
      </c>
      <c r="G11" s="14" t="s">
        <v>6</v>
      </c>
      <c r="H11" s="14" t="s">
        <v>6</v>
      </c>
      <c r="I11" s="14" t="s">
        <v>6</v>
      </c>
      <c r="J11" s="14" t="s">
        <v>6</v>
      </c>
      <c r="K11" s="14" t="s">
        <v>6</v>
      </c>
      <c r="L11" s="14" t="s">
        <v>6</v>
      </c>
      <c r="M11" s="14" t="s">
        <v>6</v>
      </c>
      <c r="N11" s="13">
        <v>231470093</v>
      </c>
      <c r="O11" s="13">
        <v>23952646</v>
      </c>
      <c r="P11" s="13">
        <v>139774454</v>
      </c>
      <c r="Q11" s="13">
        <v>396203420</v>
      </c>
      <c r="R11" s="13">
        <v>40109811</v>
      </c>
      <c r="S11" s="13">
        <v>291177216</v>
      </c>
      <c r="T11" s="13">
        <v>392453410</v>
      </c>
      <c r="U11" s="13">
        <v>8597178</v>
      </c>
      <c r="V11" s="13">
        <v>105598425</v>
      </c>
      <c r="W11" s="13">
        <v>97674491</v>
      </c>
      <c r="X11" s="13">
        <v>84861456</v>
      </c>
      <c r="Y11" s="13">
        <v>9358751</v>
      </c>
      <c r="Z11" s="13">
        <v>111468247</v>
      </c>
      <c r="AA11" s="13">
        <v>530096456</v>
      </c>
      <c r="AB11" s="13">
        <v>2730044.8600001335</v>
      </c>
      <c r="AC11" s="13">
        <v>37524759.860000134</v>
      </c>
      <c r="AD11" s="13">
        <v>55104865.859999999</v>
      </c>
      <c r="AE11" s="16">
        <f t="shared" si="1"/>
        <v>2558155724.5800004</v>
      </c>
      <c r="AF11" s="17">
        <f>AE10-AE9-AC11</f>
        <v>17580106.000000477</v>
      </c>
      <c r="AG11" s="13"/>
    </row>
    <row r="12" spans="1:33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>
        <f>AC11-AC10+AC9-AC8</f>
        <v>0</v>
      </c>
      <c r="AD12" s="13"/>
      <c r="AE12" s="52"/>
      <c r="AF12" s="13"/>
      <c r="AG12" s="13"/>
    </row>
    <row r="13" spans="1:33" x14ac:dyDescent="0.2">
      <c r="A13" s="13" t="s">
        <v>47</v>
      </c>
      <c r="B13" s="13" t="s">
        <v>43</v>
      </c>
      <c r="C13" s="14" t="s">
        <v>6</v>
      </c>
      <c r="D13" s="14" t="s">
        <v>6</v>
      </c>
      <c r="E13" s="14" t="s">
        <v>6</v>
      </c>
      <c r="F13" s="14" t="s">
        <v>6</v>
      </c>
      <c r="G13" s="14" t="s">
        <v>6</v>
      </c>
      <c r="H13" s="14" t="s">
        <v>6</v>
      </c>
      <c r="I13" s="14" t="s">
        <v>6</v>
      </c>
      <c r="J13" s="14" t="s">
        <v>6</v>
      </c>
      <c r="K13" s="14" t="s">
        <v>6</v>
      </c>
      <c r="L13" s="37">
        <v>964508.96</v>
      </c>
      <c r="M13" s="37">
        <v>929508.96</v>
      </c>
      <c r="N13" s="37">
        <v>131271559.95999999</v>
      </c>
      <c r="O13" s="37">
        <v>742380288.96000004</v>
      </c>
      <c r="P13" s="37">
        <v>1607577856.96</v>
      </c>
      <c r="Q13" s="37">
        <v>1130925214.96</v>
      </c>
      <c r="R13" s="13">
        <v>1032140795.96</v>
      </c>
      <c r="S13" s="37">
        <v>1787762031.96</v>
      </c>
      <c r="T13" s="13">
        <v>2008965070.96</v>
      </c>
      <c r="U13" s="13">
        <v>1409236145.96</v>
      </c>
      <c r="V13" s="13">
        <v>1189688551.96</v>
      </c>
      <c r="W13" s="58">
        <v>1310458309.96</v>
      </c>
      <c r="X13" s="13">
        <v>1176332066.96</v>
      </c>
      <c r="Y13" s="13">
        <v>798984734.96000004</v>
      </c>
      <c r="Z13" s="37">
        <v>1510003929.96</v>
      </c>
      <c r="AA13" s="37">
        <v>2092195933.96</v>
      </c>
      <c r="AB13" s="37">
        <v>999873009.96000004</v>
      </c>
      <c r="AC13" s="37">
        <v>245464159.96000001</v>
      </c>
      <c r="AD13" s="13">
        <v>36742975.960000001</v>
      </c>
      <c r="AE13" s="16">
        <f t="shared" ref="AE13:AE16" si="2">SUM(C13:AD13)</f>
        <v>19211896657.239994</v>
      </c>
      <c r="AF13" s="13"/>
      <c r="AG13" s="13"/>
    </row>
    <row r="14" spans="1:33" x14ac:dyDescent="0.2">
      <c r="A14" s="13"/>
      <c r="B14" s="13" t="s">
        <v>44</v>
      </c>
      <c r="C14" s="14" t="s">
        <v>6</v>
      </c>
      <c r="D14" s="14" t="s">
        <v>6</v>
      </c>
      <c r="E14" s="14" t="s">
        <v>6</v>
      </c>
      <c r="F14" s="14" t="s">
        <v>6</v>
      </c>
      <c r="G14" s="14" t="s">
        <v>6</v>
      </c>
      <c r="H14" s="14" t="s">
        <v>6</v>
      </c>
      <c r="I14" s="14" t="s">
        <v>6</v>
      </c>
      <c r="J14" s="14" t="s">
        <v>6</v>
      </c>
      <c r="K14" s="14" t="s">
        <v>6</v>
      </c>
      <c r="L14" s="37">
        <v>35000</v>
      </c>
      <c r="M14" s="37">
        <v>100014820</v>
      </c>
      <c r="N14" s="37">
        <v>105424</v>
      </c>
      <c r="O14" s="37">
        <v>337700</v>
      </c>
      <c r="P14" s="37">
        <v>1300599071</v>
      </c>
      <c r="Q14" s="13">
        <v>1000564841</v>
      </c>
      <c r="R14" s="13">
        <v>531710</v>
      </c>
      <c r="S14" s="13">
        <v>50070693</v>
      </c>
      <c r="T14" s="13">
        <v>1500756979</v>
      </c>
      <c r="U14" s="13">
        <v>1000646524</v>
      </c>
      <c r="V14" s="13">
        <v>450519828</v>
      </c>
      <c r="W14" s="13">
        <v>800560099</v>
      </c>
      <c r="X14" s="13">
        <v>900441437</v>
      </c>
      <c r="Y14" s="13">
        <v>250287395</v>
      </c>
      <c r="Z14" s="37">
        <v>400636898</v>
      </c>
      <c r="AA14" s="37">
        <v>1300528385</v>
      </c>
      <c r="AB14" s="37">
        <v>1600236910</v>
      </c>
      <c r="AC14" s="37">
        <v>900157308</v>
      </c>
      <c r="AD14" s="13">
        <v>500116646</v>
      </c>
      <c r="AE14" s="16">
        <f t="shared" si="2"/>
        <v>12057147668</v>
      </c>
      <c r="AF14" s="13"/>
      <c r="AG14" s="13"/>
    </row>
    <row r="15" spans="1:33" x14ac:dyDescent="0.2">
      <c r="A15" s="55"/>
      <c r="B15" s="55" t="s">
        <v>45</v>
      </c>
      <c r="C15" s="56" t="s">
        <v>6</v>
      </c>
      <c r="D15" s="56" t="s">
        <v>6</v>
      </c>
      <c r="E15" s="56" t="s">
        <v>6</v>
      </c>
      <c r="F15" s="56" t="s">
        <v>6</v>
      </c>
      <c r="G15" s="56" t="s">
        <v>6</v>
      </c>
      <c r="H15" s="56" t="s">
        <v>6</v>
      </c>
      <c r="I15" s="56" t="s">
        <v>6</v>
      </c>
      <c r="J15" s="56">
        <v>0</v>
      </c>
      <c r="K15" s="56">
        <v>0</v>
      </c>
      <c r="L15" s="59">
        <v>0</v>
      </c>
      <c r="M15" s="59">
        <v>230356871</v>
      </c>
      <c r="N15" s="59">
        <v>611214153</v>
      </c>
      <c r="O15" s="59">
        <v>865535268</v>
      </c>
      <c r="P15" s="59">
        <v>823946429</v>
      </c>
      <c r="Q15" s="55">
        <v>901780422</v>
      </c>
      <c r="R15" s="55">
        <v>756152946</v>
      </c>
      <c r="S15" s="55">
        <v>721909969</v>
      </c>
      <c r="T15" s="55">
        <v>901028054</v>
      </c>
      <c r="U15" s="55">
        <v>78109893</v>
      </c>
      <c r="V15" s="55">
        <v>571289586</v>
      </c>
      <c r="W15" s="55">
        <v>666433856</v>
      </c>
      <c r="X15" s="55">
        <v>523094105</v>
      </c>
      <c r="Y15" s="55">
        <v>961306590</v>
      </c>
      <c r="Z15" s="59">
        <v>982828902</v>
      </c>
      <c r="AA15" s="59">
        <v>208205461</v>
      </c>
      <c r="AB15" s="59">
        <v>845828060</v>
      </c>
      <c r="AC15" s="59">
        <v>691436124</v>
      </c>
      <c r="AD15" s="55">
        <v>582308708</v>
      </c>
      <c r="AE15" s="57">
        <f t="shared" si="2"/>
        <v>11922765397</v>
      </c>
      <c r="AF15" s="55"/>
      <c r="AG15" s="55"/>
    </row>
    <row r="16" spans="1:33" x14ac:dyDescent="0.2">
      <c r="A16" s="13"/>
      <c r="B16" s="13" t="s">
        <v>46</v>
      </c>
      <c r="C16" s="14" t="s">
        <v>6</v>
      </c>
      <c r="D16" s="14" t="s">
        <v>6</v>
      </c>
      <c r="E16" s="14" t="s">
        <v>6</v>
      </c>
      <c r="F16" s="14" t="s">
        <v>6</v>
      </c>
      <c r="G16" s="14" t="s">
        <v>6</v>
      </c>
      <c r="H16" s="14" t="s">
        <v>6</v>
      </c>
      <c r="I16" s="14" t="s">
        <v>6</v>
      </c>
      <c r="J16" s="14" t="s">
        <v>6</v>
      </c>
      <c r="K16" s="14" t="s">
        <v>6</v>
      </c>
      <c r="L16" s="37">
        <v>929508.96</v>
      </c>
      <c r="M16" s="37">
        <v>131271559.95999999</v>
      </c>
      <c r="N16" s="37">
        <v>742380288.96000004</v>
      </c>
      <c r="O16" s="37">
        <v>1607577856.96</v>
      </c>
      <c r="P16" s="37">
        <v>1130925214.96</v>
      </c>
      <c r="Q16" s="13">
        <v>1032140795.96</v>
      </c>
      <c r="R16" s="13">
        <v>1787762031.96</v>
      </c>
      <c r="S16" s="13">
        <v>2008965070.96</v>
      </c>
      <c r="T16" s="13">
        <v>1409236145.96</v>
      </c>
      <c r="U16" s="13">
        <v>1189688551.96</v>
      </c>
      <c r="V16" s="13">
        <v>1310458309.96</v>
      </c>
      <c r="W16" s="13">
        <v>1176332066.96</v>
      </c>
      <c r="X16" s="13">
        <v>798984734.96000004</v>
      </c>
      <c r="Y16" s="13">
        <v>1510003929.96</v>
      </c>
      <c r="Z16" s="37">
        <v>2092195933.96</v>
      </c>
      <c r="AA16" s="37">
        <v>999873009.96000004</v>
      </c>
      <c r="AB16" s="37">
        <v>245464159.96000001</v>
      </c>
      <c r="AC16" s="37">
        <v>36742975.960000001</v>
      </c>
      <c r="AD16" s="13">
        <v>118935037.95999999</v>
      </c>
      <c r="AE16" s="16">
        <f t="shared" si="2"/>
        <v>19329867186.23999</v>
      </c>
      <c r="AF16" s="17">
        <f>AE14-AE15-AC30</f>
        <v>134382271</v>
      </c>
      <c r="AG16" s="13"/>
    </row>
    <row r="17" spans="1:33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52"/>
      <c r="AF17" s="13"/>
      <c r="AG17" s="13"/>
    </row>
    <row r="18" spans="1:33" x14ac:dyDescent="0.2">
      <c r="A18" s="13" t="s">
        <v>48</v>
      </c>
      <c r="B18" s="13" t="s">
        <v>43</v>
      </c>
      <c r="C18" s="14" t="s">
        <v>6</v>
      </c>
      <c r="D18" s="14" t="s">
        <v>6</v>
      </c>
      <c r="E18" s="14" t="s">
        <v>6</v>
      </c>
      <c r="F18" s="14" t="s">
        <v>6</v>
      </c>
      <c r="G18" s="13">
        <v>1000000</v>
      </c>
      <c r="H18" s="13">
        <v>5853884722</v>
      </c>
      <c r="I18" s="13">
        <v>5431840931</v>
      </c>
      <c r="J18" s="13">
        <v>5003021161</v>
      </c>
      <c r="K18" s="13">
        <v>6412966053</v>
      </c>
      <c r="L18" s="13">
        <v>5995300997</v>
      </c>
      <c r="M18" s="13">
        <v>2691542395</v>
      </c>
      <c r="N18" s="13">
        <v>2594957730</v>
      </c>
      <c r="O18" s="13">
        <v>1647337004</v>
      </c>
      <c r="P18" s="13">
        <v>1649375402</v>
      </c>
      <c r="Q18" s="13">
        <v>1651271967</v>
      </c>
      <c r="R18" s="13">
        <v>165331571200</v>
      </c>
      <c r="S18" s="13">
        <v>1655289760</v>
      </c>
      <c r="T18" s="13">
        <v>1657338965</v>
      </c>
      <c r="U18" s="13">
        <v>58233375</v>
      </c>
      <c r="V18" s="13">
        <v>58043245</v>
      </c>
      <c r="W18" s="13">
        <v>57853083</v>
      </c>
      <c r="X18" s="13">
        <v>57662571</v>
      </c>
      <c r="Y18" s="13">
        <v>57472344</v>
      </c>
      <c r="Z18" s="13">
        <v>57281770</v>
      </c>
      <c r="AA18" s="13">
        <v>57091478</v>
      </c>
      <c r="AB18" s="13">
        <v>56901154</v>
      </c>
      <c r="AC18" s="13">
        <v>64110146</v>
      </c>
      <c r="AD18" s="13">
        <v>63921014</v>
      </c>
      <c r="AE18" s="16">
        <f t="shared" ref="AE18:AE21" si="3">SUM(C18:AD18)</f>
        <v>208165268467</v>
      </c>
      <c r="AF18" s="13"/>
      <c r="AG18" s="13"/>
    </row>
    <row r="19" spans="1:33" x14ac:dyDescent="0.2">
      <c r="A19" s="13"/>
      <c r="B19" s="13" t="s">
        <v>44</v>
      </c>
      <c r="C19" s="14" t="s">
        <v>6</v>
      </c>
      <c r="D19" s="14" t="s">
        <v>6</v>
      </c>
      <c r="E19" s="14" t="s">
        <v>6</v>
      </c>
      <c r="F19" s="14" t="s">
        <v>6</v>
      </c>
      <c r="G19" s="13">
        <v>1077431</v>
      </c>
      <c r="H19" s="13">
        <v>436389427</v>
      </c>
      <c r="I19" s="13">
        <v>437893168</v>
      </c>
      <c r="J19" s="13">
        <v>8752719133</v>
      </c>
      <c r="K19" s="13">
        <v>3177266074</v>
      </c>
      <c r="L19" s="13">
        <v>3311348206</v>
      </c>
      <c r="M19" s="13">
        <v>101107459</v>
      </c>
      <c r="N19" s="13">
        <v>1000844819</v>
      </c>
      <c r="O19" s="13">
        <v>759599</v>
      </c>
      <c r="P19" s="13">
        <v>724141</v>
      </c>
      <c r="Q19" s="13">
        <v>760936</v>
      </c>
      <c r="R19" s="13">
        <v>74351200</v>
      </c>
      <c r="S19" s="13">
        <v>762301</v>
      </c>
      <c r="T19" s="13">
        <v>1600473602</v>
      </c>
      <c r="U19" s="13">
        <v>202468</v>
      </c>
      <c r="V19" s="13">
        <v>202459</v>
      </c>
      <c r="W19" s="13">
        <v>202372</v>
      </c>
      <c r="X19" s="13">
        <v>202443</v>
      </c>
      <c r="Y19" s="13">
        <v>202356</v>
      </c>
      <c r="Z19" s="13">
        <v>202427</v>
      </c>
      <c r="AA19" s="13">
        <v>202419</v>
      </c>
      <c r="AB19" s="13">
        <v>202248</v>
      </c>
      <c r="AC19" s="13">
        <v>202717</v>
      </c>
      <c r="AD19" s="13">
        <v>202621</v>
      </c>
      <c r="AE19" s="16">
        <f t="shared" si="3"/>
        <v>18898502026</v>
      </c>
      <c r="AF19" s="13"/>
      <c r="AG19" s="13"/>
    </row>
    <row r="20" spans="1:33" x14ac:dyDescent="0.2">
      <c r="A20" s="13"/>
      <c r="B20" s="13" t="s">
        <v>45</v>
      </c>
      <c r="C20" s="14" t="s">
        <v>6</v>
      </c>
      <c r="D20" s="14" t="s">
        <v>6</v>
      </c>
      <c r="E20" s="14" t="s">
        <v>6</v>
      </c>
      <c r="F20" s="13">
        <v>1000000</v>
      </c>
      <c r="G20" s="13">
        <v>5853962153</v>
      </c>
      <c r="H20" s="13">
        <v>14345636</v>
      </c>
      <c r="I20" s="13">
        <v>9073398</v>
      </c>
      <c r="J20" s="13">
        <v>10162664025</v>
      </c>
      <c r="K20" s="13">
        <v>2759601018</v>
      </c>
      <c r="L20" s="13">
        <v>7589604</v>
      </c>
      <c r="M20" s="13">
        <v>4522794</v>
      </c>
      <c r="N20" s="13">
        <v>53224093</v>
      </c>
      <c r="O20" s="13">
        <v>2797997</v>
      </c>
      <c r="P20" s="13">
        <v>2620706</v>
      </c>
      <c r="Q20" s="13">
        <v>2804681</v>
      </c>
      <c r="R20" s="13">
        <v>271756000</v>
      </c>
      <c r="S20" s="13">
        <v>2811506</v>
      </c>
      <c r="T20" s="13">
        <v>1368012</v>
      </c>
      <c r="U20" s="13">
        <v>12338</v>
      </c>
      <c r="V20" s="13">
        <v>12297</v>
      </c>
      <c r="W20" s="13">
        <v>11860</v>
      </c>
      <c r="X20" s="13">
        <v>12216</v>
      </c>
      <c r="Y20" s="13">
        <v>11782</v>
      </c>
      <c r="Z20" s="13">
        <v>12135</v>
      </c>
      <c r="AA20" s="13">
        <v>12095</v>
      </c>
      <c r="AB20" s="13">
        <v>7411240</v>
      </c>
      <c r="AC20" s="13">
        <v>13585</v>
      </c>
      <c r="AD20" s="13">
        <v>13107</v>
      </c>
      <c r="AE20" s="16">
        <f t="shared" si="3"/>
        <v>19157664278</v>
      </c>
      <c r="AF20" s="13"/>
      <c r="AG20" s="13">
        <f>DAY(4=41)</f>
        <v>0</v>
      </c>
    </row>
    <row r="21" spans="1:33" x14ac:dyDescent="0.2">
      <c r="A21" s="13"/>
      <c r="B21" s="13" t="s">
        <v>46</v>
      </c>
      <c r="C21" s="14" t="s">
        <v>6</v>
      </c>
      <c r="D21" s="14" t="s">
        <v>6</v>
      </c>
      <c r="E21" s="14" t="s">
        <v>6</v>
      </c>
      <c r="F21" s="13">
        <v>1000000</v>
      </c>
      <c r="G21" s="13">
        <v>5853884722</v>
      </c>
      <c r="H21" s="13">
        <v>5431840931</v>
      </c>
      <c r="I21" s="13">
        <v>5003021161</v>
      </c>
      <c r="J21" s="13">
        <v>6412966053</v>
      </c>
      <c r="K21" s="13">
        <v>5995300997</v>
      </c>
      <c r="L21" s="13">
        <v>2691542395</v>
      </c>
      <c r="M21" s="13">
        <v>2594957730</v>
      </c>
      <c r="N21" s="13">
        <v>1647337004</v>
      </c>
      <c r="O21" s="13">
        <v>1649375402</v>
      </c>
      <c r="P21" s="13">
        <v>1651271967</v>
      </c>
      <c r="Q21" s="13">
        <v>1653315712</v>
      </c>
      <c r="R21" s="13">
        <v>165528976000</v>
      </c>
      <c r="S21" s="13">
        <v>1657338965</v>
      </c>
      <c r="T21" s="13">
        <v>58233375</v>
      </c>
      <c r="U21" s="13">
        <v>58043245</v>
      </c>
      <c r="V21" s="13">
        <v>57853083</v>
      </c>
      <c r="W21" s="13">
        <v>57662571</v>
      </c>
      <c r="X21" s="13">
        <v>57472344</v>
      </c>
      <c r="Y21" s="13">
        <v>57281770</v>
      </c>
      <c r="Z21" s="13">
        <v>57091478</v>
      </c>
      <c r="AA21" s="13">
        <v>56901154</v>
      </c>
      <c r="AB21" s="13">
        <v>64110146</v>
      </c>
      <c r="AC21" s="13">
        <v>63921014</v>
      </c>
      <c r="AD21" s="13">
        <v>63731500</v>
      </c>
      <c r="AE21" s="16">
        <f t="shared" si="3"/>
        <v>208424430719</v>
      </c>
      <c r="AF21" s="17">
        <f>AE20-AE19-AC21</f>
        <v>195241238</v>
      </c>
      <c r="AG21" s="13"/>
    </row>
    <row r="22" spans="1:33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52"/>
      <c r="AF22" s="13"/>
      <c r="AG22" s="13"/>
    </row>
    <row r="23" spans="1:33" x14ac:dyDescent="0.2">
      <c r="A23" s="13" t="s">
        <v>49</v>
      </c>
      <c r="B23" s="13" t="s">
        <v>43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W23" s="13">
        <v>41563966.530000001</v>
      </c>
      <c r="X23" s="23">
        <v>109050574.84999999</v>
      </c>
      <c r="Y23" s="23">
        <v>224344563.03999999</v>
      </c>
      <c r="Z23" s="13">
        <v>438226214.61000001</v>
      </c>
      <c r="AA23" s="13">
        <v>534937478.93000001</v>
      </c>
      <c r="AB23" s="13">
        <v>606585895.38999999</v>
      </c>
      <c r="AC23" s="58">
        <v>678376670.72000003</v>
      </c>
      <c r="AD23" s="13">
        <v>748832092.94000006</v>
      </c>
      <c r="AE23" s="16">
        <f>SUM(C23:AD23)</f>
        <v>3381917457.0099998</v>
      </c>
      <c r="AF23" s="13"/>
      <c r="AG23" s="13"/>
    </row>
    <row r="24" spans="1:33" x14ac:dyDescent="0.2">
      <c r="A24" s="13"/>
      <c r="B24" s="13" t="s">
        <v>44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W24" s="13">
        <v>30735.58</v>
      </c>
      <c r="X24" s="60">
        <v>50584.55</v>
      </c>
      <c r="Y24" s="60">
        <v>79709.89</v>
      </c>
      <c r="Z24" s="60">
        <v>127688.58</v>
      </c>
      <c r="AA24" s="60">
        <v>132114.60999999999</v>
      </c>
      <c r="AB24" s="41">
        <v>160619.07999999999</v>
      </c>
      <c r="AC24" s="60">
        <v>172719.8</v>
      </c>
      <c r="AD24" s="13">
        <v>189290.69</v>
      </c>
      <c r="AE24" s="52"/>
      <c r="AF24" s="13"/>
      <c r="AG24" s="13"/>
    </row>
    <row r="25" spans="1:33" x14ac:dyDescent="0.2">
      <c r="A25" s="55"/>
      <c r="B25" s="55" t="s">
        <v>45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61"/>
      <c r="W25" s="55">
        <v>67517343.900000006</v>
      </c>
      <c r="X25" s="62">
        <v>115344572.73999999</v>
      </c>
      <c r="Y25" s="55">
        <v>213961361.46000001</v>
      </c>
      <c r="Z25" s="55">
        <v>96838952.900000006</v>
      </c>
      <c r="AA25" s="55">
        <v>71780531.069999993</v>
      </c>
      <c r="AB25" s="63">
        <v>71951394.409999996</v>
      </c>
      <c r="AC25" s="55">
        <v>70005178.019999996</v>
      </c>
      <c r="AD25" s="55">
        <v>49035418.43</v>
      </c>
      <c r="AE25" s="57">
        <f t="shared" ref="AE25:AE26" si="4">SUM(C25:AD25)</f>
        <v>756434752.92999983</v>
      </c>
      <c r="AF25" s="55"/>
      <c r="AG25" s="55"/>
    </row>
    <row r="26" spans="1:33" x14ac:dyDescent="0.2">
      <c r="A26" s="13"/>
      <c r="B26" s="13" t="s">
        <v>46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W26" s="13">
        <v>109050574.84999999</v>
      </c>
      <c r="X26" s="23">
        <v>224344563.03999999</v>
      </c>
      <c r="Y26" s="13">
        <v>438226214.61000001</v>
      </c>
      <c r="Z26" s="13">
        <v>534937478.93000001</v>
      </c>
      <c r="AA26" s="13">
        <v>606585895.38999999</v>
      </c>
      <c r="AB26" s="58">
        <v>678376670.72000003</v>
      </c>
      <c r="AC26" s="58">
        <v>748209128.94000006</v>
      </c>
      <c r="AD26" s="13">
        <v>797055256.67999995</v>
      </c>
      <c r="AE26" s="16">
        <f t="shared" si="4"/>
        <v>4136785783.1599998</v>
      </c>
      <c r="AF26" s="17" t="e">
        <f>#REF!-AE25-AC26</f>
        <v>#REF!</v>
      </c>
      <c r="AG26" s="13"/>
    </row>
    <row r="27" spans="1:33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>
        <f t="shared" ref="J27:AD27" si="5">J5+J15+J25</f>
        <v>1001000000</v>
      </c>
      <c r="K27" s="13">
        <f t="shared" si="5"/>
        <v>1000000000</v>
      </c>
      <c r="L27" s="13">
        <f t="shared" si="5"/>
        <v>1000000009.9400001</v>
      </c>
      <c r="M27" s="13">
        <f t="shared" si="5"/>
        <v>2015436673.45</v>
      </c>
      <c r="N27" s="13">
        <f t="shared" si="5"/>
        <v>1831100474.25</v>
      </c>
      <c r="O27" s="13">
        <f t="shared" si="5"/>
        <v>1574550402.95</v>
      </c>
      <c r="P27" s="13">
        <f t="shared" si="5"/>
        <v>2061253697.8</v>
      </c>
      <c r="Q27" s="13">
        <f t="shared" si="5"/>
        <v>2341879413.25</v>
      </c>
      <c r="R27" s="13">
        <f t="shared" si="5"/>
        <v>2032838182.95</v>
      </c>
      <c r="S27" s="13">
        <f t="shared" si="5"/>
        <v>1920692060.9000001</v>
      </c>
      <c r="T27" s="13">
        <f t="shared" si="5"/>
        <v>1928722577.3</v>
      </c>
      <c r="U27" s="13">
        <f t="shared" si="5"/>
        <v>901195005.89999998</v>
      </c>
      <c r="V27" s="13">
        <f t="shared" si="5"/>
        <v>1732649525.4000001</v>
      </c>
      <c r="W27" s="13">
        <f t="shared" si="5"/>
        <v>2043220467.3300002</v>
      </c>
      <c r="X27" s="13">
        <f t="shared" si="5"/>
        <v>1565966545.98</v>
      </c>
      <c r="Y27" s="13">
        <f t="shared" si="5"/>
        <v>2926998581.7200003</v>
      </c>
      <c r="Z27" s="13">
        <f t="shared" si="5"/>
        <v>2394673295.4000001</v>
      </c>
      <c r="AA27" s="13">
        <f t="shared" si="5"/>
        <v>1956379992.5</v>
      </c>
      <c r="AB27" s="13">
        <f t="shared" si="5"/>
        <v>2685507350.0799999</v>
      </c>
      <c r="AC27" s="13">
        <f t="shared" si="5"/>
        <v>1692188578.6999998</v>
      </c>
      <c r="AD27" s="13">
        <f t="shared" si="5"/>
        <v>1520693854.8399999</v>
      </c>
      <c r="AG27" s="13"/>
    </row>
    <row r="28" spans="1:33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52"/>
      <c r="AF28" s="13"/>
      <c r="AG28" s="13"/>
    </row>
    <row r="29" spans="1:33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>
        <f>AD6+AD16+AD21+AD26+AD11</f>
        <v>3003925562.21</v>
      </c>
      <c r="AE29" s="52"/>
      <c r="AF29" s="13"/>
      <c r="AG29" s="13"/>
    </row>
    <row r="30" spans="1:33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52"/>
      <c r="AF30" s="13"/>
      <c r="AG30" s="13"/>
    </row>
    <row r="31" spans="1:33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52"/>
      <c r="AF31" s="13"/>
      <c r="AG31" s="13"/>
    </row>
    <row r="32" spans="1:33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52"/>
      <c r="AF32" s="13"/>
      <c r="AG32" s="13"/>
    </row>
    <row r="33" spans="1:33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52"/>
      <c r="AF33" s="13"/>
      <c r="AG33" s="13"/>
    </row>
    <row r="34" spans="1:33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52"/>
      <c r="AF34" s="13"/>
      <c r="AG34" s="13"/>
    </row>
    <row r="35" spans="1:33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52"/>
      <c r="AF35" s="13"/>
      <c r="AG35" s="13"/>
    </row>
    <row r="36" spans="1:33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52"/>
      <c r="AF36" s="13"/>
      <c r="AG36" s="13"/>
    </row>
    <row r="37" spans="1:33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52"/>
      <c r="AF37" s="13"/>
      <c r="AG37" s="13"/>
    </row>
    <row r="38" spans="1:33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52"/>
      <c r="AF38" s="13"/>
      <c r="AG38" s="13"/>
    </row>
    <row r="39" spans="1:33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52"/>
      <c r="AF39" s="13"/>
      <c r="AG39" s="13"/>
    </row>
    <row r="40" spans="1:33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52"/>
      <c r="AF40" s="13"/>
      <c r="AG40" s="13"/>
    </row>
    <row r="41" spans="1:33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52"/>
      <c r="AF41" s="13"/>
      <c r="AG41" s="13"/>
    </row>
    <row r="42" spans="1:33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52"/>
      <c r="AF42" s="13"/>
      <c r="AG42" s="13"/>
    </row>
    <row r="43" spans="1:33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52"/>
      <c r="AF43" s="13"/>
      <c r="AG43" s="13"/>
    </row>
    <row r="44" spans="1:33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52"/>
      <c r="AF44" s="13"/>
      <c r="AG44" s="13"/>
    </row>
    <row r="45" spans="1:33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52"/>
      <c r="AF45" s="13"/>
      <c r="AG45" s="13"/>
    </row>
    <row r="46" spans="1:33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52"/>
      <c r="AF46" s="13"/>
      <c r="AG46" s="13"/>
    </row>
    <row r="47" spans="1:33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52"/>
      <c r="AF47" s="13"/>
      <c r="AG47" s="13"/>
    </row>
    <row r="48" spans="1:33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52"/>
      <c r="AF48" s="13"/>
      <c r="AG48" s="13"/>
    </row>
    <row r="49" spans="1:33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52"/>
      <c r="AF49" s="13"/>
      <c r="AG49" s="13"/>
    </row>
    <row r="50" spans="1:33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52"/>
      <c r="AF50" s="13"/>
      <c r="AG50" s="13"/>
    </row>
    <row r="51" spans="1:33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52"/>
      <c r="AF51" s="13"/>
      <c r="AG51" s="13"/>
    </row>
    <row r="52" spans="1:33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52"/>
      <c r="AF52" s="13"/>
      <c r="AG52" s="13"/>
    </row>
    <row r="53" spans="1:33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52"/>
      <c r="AF53" s="13"/>
      <c r="AG53" s="13"/>
    </row>
    <row r="54" spans="1:33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52"/>
      <c r="AF54" s="13"/>
      <c r="AG54" s="13"/>
    </row>
    <row r="55" spans="1:33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52"/>
      <c r="AF55" s="13"/>
      <c r="AG55" s="13"/>
    </row>
    <row r="56" spans="1:33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52"/>
      <c r="AF56" s="13"/>
      <c r="AG56" s="13"/>
    </row>
    <row r="57" spans="1:33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52"/>
      <c r="AF57" s="13"/>
      <c r="AG57" s="13"/>
    </row>
    <row r="58" spans="1:33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52"/>
      <c r="AF58" s="13"/>
      <c r="AG58" s="13"/>
    </row>
    <row r="59" spans="1:33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52"/>
      <c r="AF59" s="13"/>
      <c r="AG59" s="13"/>
    </row>
    <row r="60" spans="1:33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52"/>
      <c r="AF60" s="13"/>
      <c r="AG60" s="13"/>
    </row>
    <row r="61" spans="1:33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52"/>
      <c r="AF61" s="13"/>
      <c r="AG61" s="13"/>
    </row>
    <row r="62" spans="1:33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52"/>
      <c r="AF62" s="13"/>
      <c r="AG62" s="13"/>
    </row>
    <row r="63" spans="1:33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52"/>
      <c r="AF63" s="13"/>
      <c r="AG63" s="13"/>
    </row>
    <row r="64" spans="1:33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52"/>
      <c r="AF64" s="13"/>
      <c r="AG64" s="13"/>
    </row>
    <row r="65" spans="1:33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52"/>
      <c r="AF65" s="13"/>
      <c r="AG65" s="13"/>
    </row>
    <row r="66" spans="1:33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52"/>
      <c r="AF66" s="13"/>
      <c r="AG66" s="13"/>
    </row>
    <row r="67" spans="1:33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52"/>
      <c r="AF67" s="13"/>
      <c r="AG67" s="13"/>
    </row>
    <row r="68" spans="1:33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52"/>
      <c r="AF68" s="13"/>
      <c r="AG68" s="13"/>
    </row>
    <row r="69" spans="1:33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52"/>
      <c r="AF69" s="13"/>
      <c r="AG69" s="13"/>
    </row>
    <row r="70" spans="1:33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52"/>
      <c r="AF70" s="13"/>
      <c r="AG70" s="13"/>
    </row>
    <row r="71" spans="1:33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52"/>
      <c r="AF71" s="13"/>
      <c r="AG71" s="13"/>
    </row>
    <row r="72" spans="1:33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52"/>
      <c r="AF72" s="13"/>
      <c r="AG72" s="13"/>
    </row>
    <row r="73" spans="1:33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52"/>
      <c r="AF73" s="13"/>
      <c r="AG73" s="13"/>
    </row>
    <row r="74" spans="1:33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52"/>
      <c r="AF74" s="13"/>
      <c r="AG74" s="13"/>
    </row>
    <row r="75" spans="1:33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52"/>
      <c r="AF75" s="13"/>
      <c r="AG75" s="13"/>
    </row>
    <row r="76" spans="1:33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52"/>
      <c r="AF76" s="13"/>
      <c r="AG76" s="13"/>
    </row>
    <row r="77" spans="1:33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52"/>
      <c r="AF77" s="13"/>
      <c r="AG77" s="13"/>
    </row>
    <row r="78" spans="1:33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52"/>
      <c r="AF78" s="13"/>
      <c r="AG78" s="13"/>
    </row>
    <row r="79" spans="1:33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52"/>
      <c r="AF79" s="13"/>
      <c r="AG79" s="13"/>
    </row>
    <row r="80" spans="1:33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52"/>
      <c r="AF80" s="13"/>
      <c r="AG80" s="13"/>
    </row>
    <row r="81" spans="1:33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52"/>
      <c r="AF81" s="13"/>
      <c r="AG81" s="13"/>
    </row>
    <row r="82" spans="1:33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52"/>
      <c r="AF82" s="13"/>
      <c r="AG82" s="13"/>
    </row>
    <row r="83" spans="1:33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52"/>
      <c r="AF83" s="13"/>
      <c r="AG83" s="13"/>
    </row>
    <row r="84" spans="1:33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52"/>
      <c r="AF84" s="13"/>
      <c r="AG84" s="13"/>
    </row>
    <row r="85" spans="1:33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52"/>
      <c r="AF85" s="13"/>
      <c r="AG85" s="13"/>
    </row>
    <row r="86" spans="1:33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52"/>
      <c r="AF86" s="13"/>
      <c r="AG86" s="13"/>
    </row>
    <row r="87" spans="1:33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52"/>
      <c r="AF87" s="13"/>
      <c r="AG87" s="13"/>
    </row>
    <row r="88" spans="1:33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52"/>
      <c r="AF88" s="13"/>
      <c r="AG88" s="13"/>
    </row>
    <row r="89" spans="1:33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52"/>
      <c r="AF89" s="13"/>
      <c r="AG89" s="13"/>
    </row>
    <row r="90" spans="1:33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52"/>
      <c r="AF90" s="13"/>
      <c r="AG90" s="13"/>
    </row>
    <row r="91" spans="1:33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52"/>
      <c r="AF91" s="13"/>
      <c r="AG91" s="13"/>
    </row>
    <row r="92" spans="1:33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52"/>
      <c r="AF92" s="13"/>
      <c r="AG92" s="13"/>
    </row>
    <row r="93" spans="1:3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52"/>
      <c r="AF93" s="13"/>
      <c r="AG93" s="13"/>
    </row>
    <row r="94" spans="1:33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52"/>
      <c r="AF94" s="13"/>
      <c r="AG94" s="13"/>
    </row>
    <row r="95" spans="1:33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52"/>
      <c r="AF95" s="13"/>
      <c r="AG95" s="13"/>
    </row>
    <row r="96" spans="1:33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52"/>
      <c r="AF96" s="13"/>
      <c r="AG96" s="13"/>
    </row>
    <row r="97" spans="1:33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52"/>
      <c r="AF97" s="13"/>
      <c r="AG97" s="13"/>
    </row>
    <row r="98" spans="1:33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52"/>
      <c r="AF98" s="13"/>
      <c r="AG98" s="13"/>
    </row>
    <row r="99" spans="1:33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52"/>
      <c r="AF99" s="13"/>
      <c r="AG99" s="13"/>
    </row>
    <row r="100" spans="1:33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52"/>
      <c r="AF100" s="13"/>
      <c r="AG100" s="13"/>
    </row>
    <row r="101" spans="1:33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52"/>
      <c r="AF101" s="13"/>
      <c r="AG101" s="13"/>
    </row>
    <row r="102" spans="1:33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52"/>
      <c r="AF102" s="13"/>
      <c r="AG102" s="13"/>
    </row>
    <row r="103" spans="1:33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52"/>
      <c r="AF103" s="13"/>
      <c r="AG103" s="13"/>
    </row>
    <row r="104" spans="1:33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52"/>
      <c r="AF104" s="13"/>
      <c r="AG104" s="13"/>
    </row>
    <row r="105" spans="1:33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52"/>
      <c r="AF105" s="13"/>
      <c r="AG105" s="13"/>
    </row>
    <row r="106" spans="1:33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52"/>
      <c r="AF106" s="13"/>
      <c r="AG106" s="13"/>
    </row>
    <row r="107" spans="1:33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52"/>
      <c r="AF107" s="13"/>
      <c r="AG107" s="13"/>
    </row>
    <row r="108" spans="1:33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52"/>
      <c r="AF108" s="13"/>
      <c r="AG108" s="13"/>
    </row>
    <row r="109" spans="1:33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52"/>
      <c r="AF109" s="13"/>
      <c r="AG109" s="13"/>
    </row>
    <row r="110" spans="1:33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52"/>
      <c r="AF110" s="13"/>
      <c r="AG110" s="13"/>
    </row>
    <row r="111" spans="1:33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52"/>
      <c r="AF111" s="13"/>
      <c r="AG111" s="13"/>
    </row>
    <row r="112" spans="1:33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52"/>
      <c r="AF112" s="13"/>
      <c r="AG112" s="13"/>
    </row>
    <row r="113" spans="1:33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52"/>
      <c r="AF113" s="13"/>
      <c r="AG113" s="13"/>
    </row>
    <row r="114" spans="1:33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52"/>
      <c r="AF114" s="13"/>
      <c r="AG114" s="13"/>
    </row>
    <row r="115" spans="1:33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52"/>
      <c r="AF115" s="13"/>
      <c r="AG115" s="13"/>
    </row>
    <row r="116" spans="1:33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52"/>
      <c r="AF116" s="13"/>
      <c r="AG116" s="13"/>
    </row>
    <row r="117" spans="1:33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52"/>
      <c r="AF117" s="13"/>
      <c r="AG117" s="13"/>
    </row>
    <row r="118" spans="1:33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52"/>
      <c r="AF118" s="13"/>
      <c r="AG118" s="13"/>
    </row>
    <row r="119" spans="1:33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52"/>
      <c r="AF119" s="13"/>
      <c r="AG119" s="13"/>
    </row>
    <row r="120" spans="1:33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52"/>
      <c r="AF120" s="13"/>
      <c r="AG120" s="13"/>
    </row>
    <row r="121" spans="1:33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52"/>
      <c r="AF121" s="13"/>
      <c r="AG121" s="13"/>
    </row>
    <row r="122" spans="1:33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52"/>
      <c r="AF122" s="13"/>
      <c r="AG122" s="13"/>
    </row>
    <row r="123" spans="1:33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52"/>
      <c r="AF123" s="13"/>
      <c r="AG123" s="13"/>
    </row>
    <row r="124" spans="1:33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52"/>
      <c r="AF124" s="13"/>
      <c r="AG124" s="13"/>
    </row>
    <row r="125" spans="1:33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52"/>
      <c r="AF125" s="13"/>
      <c r="AG125" s="13"/>
    </row>
    <row r="126" spans="1:33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52"/>
      <c r="AF126" s="13"/>
      <c r="AG126" s="13"/>
    </row>
    <row r="127" spans="1:33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52"/>
      <c r="AF127" s="13"/>
      <c r="AG127" s="13"/>
    </row>
    <row r="128" spans="1:33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52"/>
      <c r="AF128" s="13"/>
      <c r="AG128" s="13"/>
    </row>
    <row r="129" spans="1:33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52"/>
      <c r="AF129" s="13"/>
      <c r="AG129" s="13"/>
    </row>
    <row r="130" spans="1:33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52"/>
      <c r="AF130" s="13"/>
      <c r="AG130" s="13"/>
    </row>
    <row r="131" spans="1:33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52"/>
      <c r="AF131" s="13"/>
      <c r="AG131" s="13"/>
    </row>
    <row r="132" spans="1:33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52"/>
      <c r="AF132" s="13"/>
      <c r="AG132" s="13"/>
    </row>
    <row r="133" spans="1:33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52"/>
      <c r="AF133" s="13"/>
      <c r="AG133" s="13"/>
    </row>
    <row r="134" spans="1:33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52"/>
      <c r="AF134" s="13"/>
      <c r="AG134" s="13"/>
    </row>
    <row r="135" spans="1:33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52"/>
      <c r="AF135" s="13"/>
      <c r="AG135" s="13"/>
    </row>
    <row r="136" spans="1:33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52"/>
      <c r="AF136" s="13"/>
      <c r="AG136" s="13"/>
    </row>
    <row r="137" spans="1:33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52"/>
      <c r="AF137" s="13"/>
      <c r="AG137" s="13"/>
    </row>
    <row r="138" spans="1:33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52"/>
      <c r="AF138" s="13"/>
      <c r="AG138" s="13"/>
    </row>
    <row r="139" spans="1:33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52"/>
      <c r="AF139" s="13"/>
      <c r="AG139" s="13"/>
    </row>
    <row r="140" spans="1:33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52"/>
      <c r="AF140" s="13"/>
      <c r="AG140" s="13"/>
    </row>
    <row r="141" spans="1:33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52"/>
      <c r="AF141" s="13"/>
      <c r="AG141" s="13"/>
    </row>
    <row r="142" spans="1:33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52"/>
      <c r="AF142" s="13"/>
      <c r="AG142" s="13"/>
    </row>
    <row r="143" spans="1:33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52"/>
      <c r="AF143" s="13"/>
      <c r="AG143" s="13"/>
    </row>
    <row r="144" spans="1:33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52"/>
      <c r="AF144" s="13"/>
      <c r="AG144" s="13"/>
    </row>
    <row r="145" spans="1:33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52"/>
      <c r="AF145" s="13"/>
      <c r="AG145" s="13"/>
    </row>
    <row r="146" spans="1:33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52"/>
      <c r="AF146" s="13"/>
      <c r="AG146" s="13"/>
    </row>
    <row r="147" spans="1:33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52"/>
      <c r="AF147" s="13"/>
      <c r="AG147" s="13"/>
    </row>
    <row r="148" spans="1:33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52"/>
      <c r="AF148" s="13"/>
      <c r="AG148" s="13"/>
    </row>
    <row r="149" spans="1:33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52"/>
      <c r="AF149" s="13"/>
      <c r="AG149" s="13"/>
    </row>
    <row r="150" spans="1:33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52"/>
      <c r="AF150" s="13"/>
      <c r="AG150" s="13"/>
    </row>
    <row r="151" spans="1:33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52"/>
      <c r="AF151" s="13"/>
      <c r="AG151" s="13"/>
    </row>
    <row r="152" spans="1:33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52"/>
      <c r="AF152" s="13"/>
      <c r="AG152" s="13"/>
    </row>
    <row r="153" spans="1:33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52"/>
      <c r="AF153" s="13"/>
      <c r="AG153" s="13"/>
    </row>
    <row r="154" spans="1:33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52"/>
      <c r="AF154" s="13"/>
      <c r="AG154" s="13"/>
    </row>
    <row r="155" spans="1:33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52"/>
      <c r="AF155" s="13"/>
      <c r="AG155" s="13"/>
    </row>
    <row r="156" spans="1:33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52"/>
      <c r="AF156" s="13"/>
      <c r="AG156" s="13"/>
    </row>
    <row r="157" spans="1:33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52"/>
      <c r="AF157" s="13"/>
      <c r="AG157" s="13"/>
    </row>
    <row r="158" spans="1:33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52"/>
      <c r="AF158" s="13"/>
      <c r="AG158" s="13"/>
    </row>
    <row r="159" spans="1:33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52"/>
      <c r="AF159" s="13"/>
      <c r="AG159" s="13"/>
    </row>
    <row r="160" spans="1:33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52"/>
      <c r="AF160" s="13"/>
      <c r="AG160" s="13"/>
    </row>
    <row r="161" spans="1:33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52"/>
      <c r="AF161" s="13"/>
      <c r="AG161" s="13"/>
    </row>
    <row r="162" spans="1:33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52"/>
      <c r="AF162" s="13"/>
      <c r="AG162" s="13"/>
    </row>
    <row r="163" spans="1:33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52"/>
      <c r="AF163" s="13"/>
      <c r="AG163" s="13"/>
    </row>
    <row r="164" spans="1:33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52"/>
      <c r="AF164" s="13"/>
      <c r="AG164" s="13"/>
    </row>
    <row r="165" spans="1:33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52"/>
      <c r="AF165" s="13"/>
      <c r="AG165" s="13"/>
    </row>
    <row r="166" spans="1:33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52"/>
      <c r="AF166" s="13"/>
      <c r="AG166" s="13"/>
    </row>
    <row r="167" spans="1:33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52"/>
      <c r="AF167" s="13"/>
      <c r="AG167" s="13"/>
    </row>
    <row r="168" spans="1:33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52"/>
      <c r="AF168" s="13"/>
      <c r="AG168" s="13"/>
    </row>
    <row r="169" spans="1:33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52"/>
      <c r="AF169" s="13"/>
      <c r="AG169" s="13"/>
    </row>
    <row r="170" spans="1:33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52"/>
      <c r="AF170" s="13"/>
      <c r="AG170" s="13"/>
    </row>
    <row r="171" spans="1:33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52"/>
      <c r="AF171" s="13"/>
      <c r="AG171" s="13"/>
    </row>
    <row r="172" spans="1:33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52"/>
      <c r="AF172" s="13"/>
      <c r="AG172" s="13"/>
    </row>
    <row r="173" spans="1:33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52"/>
      <c r="AF173" s="13"/>
      <c r="AG173" s="13"/>
    </row>
    <row r="174" spans="1:33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52"/>
      <c r="AF174" s="13"/>
      <c r="AG174" s="13"/>
    </row>
    <row r="175" spans="1:33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52"/>
      <c r="AF175" s="13"/>
      <c r="AG175" s="13"/>
    </row>
    <row r="176" spans="1:33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52"/>
      <c r="AF176" s="13"/>
      <c r="AG176" s="13"/>
    </row>
    <row r="177" spans="1:33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52"/>
      <c r="AF177" s="13"/>
      <c r="AG177" s="13"/>
    </row>
    <row r="178" spans="1:33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52"/>
      <c r="AF178" s="13"/>
      <c r="AG178" s="13"/>
    </row>
    <row r="179" spans="1:33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52"/>
      <c r="AF179" s="13"/>
      <c r="AG179" s="13"/>
    </row>
    <row r="180" spans="1:33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52"/>
      <c r="AF180" s="13"/>
      <c r="AG180" s="13"/>
    </row>
    <row r="181" spans="1:33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52"/>
      <c r="AF181" s="13"/>
      <c r="AG181" s="13"/>
    </row>
    <row r="182" spans="1:33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52"/>
      <c r="AF182" s="13"/>
      <c r="AG182" s="13"/>
    </row>
    <row r="183" spans="1:33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52"/>
      <c r="AF183" s="13"/>
      <c r="AG183" s="13"/>
    </row>
    <row r="184" spans="1:33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52"/>
      <c r="AF184" s="13"/>
      <c r="AG184" s="13"/>
    </row>
    <row r="185" spans="1:33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52"/>
      <c r="AF185" s="13"/>
      <c r="AG185" s="13"/>
    </row>
    <row r="186" spans="1:33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52"/>
      <c r="AF186" s="13"/>
      <c r="AG186" s="13"/>
    </row>
    <row r="187" spans="1:33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52"/>
      <c r="AF187" s="13"/>
      <c r="AG187" s="13"/>
    </row>
    <row r="188" spans="1:33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52"/>
      <c r="AF188" s="13"/>
      <c r="AG188" s="13"/>
    </row>
    <row r="189" spans="1:33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52"/>
      <c r="AF189" s="13"/>
      <c r="AG189" s="13"/>
    </row>
    <row r="190" spans="1:33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52"/>
      <c r="AF190" s="13"/>
      <c r="AG190" s="13"/>
    </row>
    <row r="191" spans="1:33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52"/>
      <c r="AF191" s="13"/>
      <c r="AG191" s="13"/>
    </row>
    <row r="192" spans="1:33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52"/>
      <c r="AF192" s="13"/>
      <c r="AG192" s="13"/>
    </row>
    <row r="193" spans="1:33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52"/>
      <c r="AF193" s="13"/>
      <c r="AG193" s="13"/>
    </row>
    <row r="194" spans="1:33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52"/>
      <c r="AF194" s="13"/>
      <c r="AG194" s="13"/>
    </row>
    <row r="195" spans="1:33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52"/>
      <c r="AF195" s="13"/>
      <c r="AG195" s="13"/>
    </row>
    <row r="196" spans="1:33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52"/>
      <c r="AF196" s="13"/>
      <c r="AG196" s="13"/>
    </row>
    <row r="197" spans="1:33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52"/>
      <c r="AF197" s="13"/>
      <c r="AG197" s="13"/>
    </row>
    <row r="198" spans="1:33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52"/>
      <c r="AF198" s="13"/>
      <c r="AG198" s="13"/>
    </row>
    <row r="199" spans="1:33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52"/>
      <c r="AF199" s="13"/>
      <c r="AG199" s="13"/>
    </row>
    <row r="200" spans="1:33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52"/>
      <c r="AF200" s="13"/>
      <c r="AG200" s="13"/>
    </row>
    <row r="201" spans="1:33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52"/>
      <c r="AF201" s="13"/>
      <c r="AG201" s="13"/>
    </row>
    <row r="202" spans="1:33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52"/>
      <c r="AF202" s="13"/>
      <c r="AG202" s="13"/>
    </row>
    <row r="203" spans="1:33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52"/>
      <c r="AF203" s="13"/>
      <c r="AG203" s="13"/>
    </row>
    <row r="204" spans="1:33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52"/>
      <c r="AF204" s="13"/>
      <c r="AG204" s="13"/>
    </row>
    <row r="205" spans="1:33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52"/>
      <c r="AF205" s="13"/>
      <c r="AG205" s="13"/>
    </row>
    <row r="206" spans="1:33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52"/>
      <c r="AF206" s="13"/>
      <c r="AG206" s="13"/>
    </row>
    <row r="207" spans="1:33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52"/>
      <c r="AF207" s="13"/>
      <c r="AG207" s="13"/>
    </row>
    <row r="208" spans="1:33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52"/>
      <c r="AF208" s="13"/>
      <c r="AG208" s="13"/>
    </row>
    <row r="209" spans="1:33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52"/>
      <c r="AF209" s="13"/>
      <c r="AG209" s="13"/>
    </row>
    <row r="210" spans="1:33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52"/>
      <c r="AF210" s="13"/>
      <c r="AG210" s="13"/>
    </row>
    <row r="211" spans="1:33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52"/>
      <c r="AF211" s="13"/>
      <c r="AG211" s="13"/>
    </row>
    <row r="212" spans="1:33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52"/>
      <c r="AF212" s="13"/>
      <c r="AG212" s="13"/>
    </row>
    <row r="213" spans="1:33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52"/>
      <c r="AF213" s="13"/>
      <c r="AG213" s="13"/>
    </row>
    <row r="214" spans="1:33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52"/>
      <c r="AF214" s="13"/>
      <c r="AG214" s="13"/>
    </row>
    <row r="215" spans="1:33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52"/>
      <c r="AF215" s="13"/>
      <c r="AG215" s="13"/>
    </row>
    <row r="216" spans="1:33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52"/>
      <c r="AF216" s="13"/>
      <c r="AG216" s="13"/>
    </row>
    <row r="217" spans="1:33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52"/>
      <c r="AF217" s="13"/>
      <c r="AG217" s="13"/>
    </row>
    <row r="218" spans="1:33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52"/>
      <c r="AF218" s="13"/>
      <c r="AG218" s="13"/>
    </row>
    <row r="219" spans="1:33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52"/>
      <c r="AF219" s="13"/>
      <c r="AG219" s="13"/>
    </row>
    <row r="220" spans="1:33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52"/>
      <c r="AF220" s="13"/>
      <c r="AG220" s="13"/>
    </row>
    <row r="221" spans="1:33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52"/>
      <c r="AF221" s="13"/>
      <c r="AG221" s="13"/>
    </row>
    <row r="222" spans="1:33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52"/>
      <c r="AF222" s="13"/>
      <c r="AG222" s="13"/>
    </row>
    <row r="223" spans="1:33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52"/>
      <c r="AF223" s="13"/>
      <c r="AG223" s="13"/>
    </row>
    <row r="224" spans="1:33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52"/>
      <c r="AF224" s="13"/>
      <c r="AG224" s="13"/>
    </row>
    <row r="225" spans="1:33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52"/>
      <c r="AF225" s="13"/>
      <c r="AG225" s="13"/>
    </row>
    <row r="226" spans="1:33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52"/>
      <c r="AF226" s="13"/>
      <c r="AG226" s="13"/>
    </row>
    <row r="227" spans="1:33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52"/>
      <c r="AF227" s="13"/>
      <c r="AG227" s="13"/>
    </row>
    <row r="228" spans="1:33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52"/>
      <c r="AF228" s="13"/>
      <c r="AG228" s="13"/>
    </row>
    <row r="229" spans="1:33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52"/>
      <c r="AF229" s="13"/>
      <c r="AG229" s="13"/>
    </row>
    <row r="230" spans="1:33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52"/>
      <c r="AF230" s="13"/>
      <c r="AG230" s="13"/>
    </row>
    <row r="231" spans="1:33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52"/>
      <c r="AF231" s="13"/>
      <c r="AG231" s="13"/>
    </row>
    <row r="232" spans="1:33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52"/>
      <c r="AF232" s="13"/>
      <c r="AG232" s="13"/>
    </row>
    <row r="233" spans="1:33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52"/>
      <c r="AF233" s="13"/>
      <c r="AG233" s="13"/>
    </row>
    <row r="234" spans="1:33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52"/>
      <c r="AF234" s="13"/>
      <c r="AG234" s="13"/>
    </row>
    <row r="235" spans="1:33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52"/>
      <c r="AF235" s="13"/>
      <c r="AG235" s="13"/>
    </row>
    <row r="236" spans="1:33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52"/>
      <c r="AF236" s="13"/>
      <c r="AG236" s="13"/>
    </row>
    <row r="237" spans="1:33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52"/>
      <c r="AF237" s="13"/>
      <c r="AG237" s="13"/>
    </row>
    <row r="238" spans="1:33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52"/>
      <c r="AF238" s="13"/>
      <c r="AG238" s="13"/>
    </row>
    <row r="239" spans="1:33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52"/>
      <c r="AF239" s="13"/>
      <c r="AG239" s="13"/>
    </row>
    <row r="240" spans="1:33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52"/>
      <c r="AF240" s="13"/>
      <c r="AG240" s="13"/>
    </row>
    <row r="241" spans="1:33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52"/>
      <c r="AF241" s="13"/>
      <c r="AG241" s="13"/>
    </row>
    <row r="242" spans="1:33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52"/>
      <c r="AF242" s="13"/>
      <c r="AG242" s="13"/>
    </row>
    <row r="243" spans="1:33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52"/>
      <c r="AF243" s="13"/>
      <c r="AG243" s="13"/>
    </row>
    <row r="244" spans="1:33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52"/>
      <c r="AF244" s="13"/>
      <c r="AG244" s="13"/>
    </row>
    <row r="245" spans="1:33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52"/>
      <c r="AF245" s="13"/>
      <c r="AG245" s="13"/>
    </row>
    <row r="246" spans="1:33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52"/>
      <c r="AF246" s="13"/>
      <c r="AG246" s="13"/>
    </row>
    <row r="247" spans="1:33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52"/>
      <c r="AF247" s="13"/>
      <c r="AG247" s="13"/>
    </row>
    <row r="248" spans="1:33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52"/>
      <c r="AF248" s="13"/>
      <c r="AG248" s="13"/>
    </row>
    <row r="249" spans="1:33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52"/>
      <c r="AF249" s="13"/>
      <c r="AG249" s="13"/>
    </row>
    <row r="250" spans="1:33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52"/>
      <c r="AF250" s="13"/>
      <c r="AG250" s="13"/>
    </row>
    <row r="251" spans="1:33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52"/>
      <c r="AF251" s="13"/>
      <c r="AG251" s="13"/>
    </row>
    <row r="252" spans="1:33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52"/>
      <c r="AF252" s="13"/>
      <c r="AG252" s="13"/>
    </row>
    <row r="253" spans="1:33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52"/>
      <c r="AF253" s="13"/>
      <c r="AG253" s="13"/>
    </row>
    <row r="254" spans="1:33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52"/>
      <c r="AF254" s="13"/>
      <c r="AG254" s="13"/>
    </row>
    <row r="255" spans="1:33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52"/>
      <c r="AF255" s="13"/>
      <c r="AG255" s="13"/>
    </row>
    <row r="256" spans="1:33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52"/>
      <c r="AF256" s="13"/>
      <c r="AG256" s="13"/>
    </row>
    <row r="257" spans="1:33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52"/>
      <c r="AF257" s="13"/>
      <c r="AG257" s="13"/>
    </row>
    <row r="258" spans="1:33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52"/>
      <c r="AF258" s="13"/>
      <c r="AG258" s="13"/>
    </row>
    <row r="259" spans="1:33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52"/>
      <c r="AF259" s="13"/>
      <c r="AG259" s="13"/>
    </row>
    <row r="260" spans="1:33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52"/>
      <c r="AF260" s="13"/>
      <c r="AG260" s="13"/>
    </row>
    <row r="261" spans="1:33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52"/>
      <c r="AF261" s="13"/>
      <c r="AG261" s="13"/>
    </row>
    <row r="262" spans="1:33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52"/>
      <c r="AF262" s="13"/>
      <c r="AG262" s="13"/>
    </row>
    <row r="263" spans="1:33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52"/>
      <c r="AF263" s="13"/>
      <c r="AG263" s="13"/>
    </row>
    <row r="264" spans="1:33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52"/>
      <c r="AF264" s="13"/>
      <c r="AG264" s="13"/>
    </row>
    <row r="265" spans="1:33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52"/>
      <c r="AF265" s="13"/>
      <c r="AG265" s="13"/>
    </row>
    <row r="266" spans="1:33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52"/>
      <c r="AF266" s="13"/>
      <c r="AG266" s="13"/>
    </row>
    <row r="267" spans="1:33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52"/>
      <c r="AF267" s="13"/>
      <c r="AG267" s="13"/>
    </row>
    <row r="268" spans="1:33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52"/>
      <c r="AF268" s="13"/>
      <c r="AG268" s="13"/>
    </row>
    <row r="269" spans="1:33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52"/>
      <c r="AF269" s="13"/>
      <c r="AG269" s="13"/>
    </row>
    <row r="270" spans="1:33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52"/>
      <c r="AF270" s="13"/>
      <c r="AG270" s="13"/>
    </row>
    <row r="271" spans="1:33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52"/>
      <c r="AF271" s="13"/>
      <c r="AG271" s="13"/>
    </row>
    <row r="272" spans="1:33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52"/>
      <c r="AF272" s="13"/>
      <c r="AG272" s="13"/>
    </row>
    <row r="273" spans="1:33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52"/>
      <c r="AF273" s="13"/>
      <c r="AG273" s="13"/>
    </row>
    <row r="274" spans="1:33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52"/>
      <c r="AF274" s="13"/>
      <c r="AG274" s="13"/>
    </row>
    <row r="275" spans="1:33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52"/>
      <c r="AF275" s="13"/>
      <c r="AG275" s="13"/>
    </row>
    <row r="276" spans="1:33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52"/>
      <c r="AF276" s="13"/>
      <c r="AG276" s="13"/>
    </row>
    <row r="277" spans="1:33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52"/>
      <c r="AF277" s="13"/>
      <c r="AG277" s="13"/>
    </row>
    <row r="278" spans="1:33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52"/>
      <c r="AF278" s="13"/>
      <c r="AG278" s="13"/>
    </row>
    <row r="279" spans="1:33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52"/>
      <c r="AF279" s="13"/>
      <c r="AG279" s="13"/>
    </row>
    <row r="280" spans="1:33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52"/>
      <c r="AF280" s="13"/>
      <c r="AG280" s="13"/>
    </row>
    <row r="281" spans="1:33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52"/>
      <c r="AF281" s="13"/>
      <c r="AG281" s="13"/>
    </row>
    <row r="282" spans="1:33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52"/>
      <c r="AF282" s="13"/>
      <c r="AG282" s="13"/>
    </row>
    <row r="283" spans="1:33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52"/>
      <c r="AF283" s="13"/>
      <c r="AG283" s="13"/>
    </row>
    <row r="284" spans="1:33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52"/>
      <c r="AF284" s="13"/>
      <c r="AG284" s="13"/>
    </row>
    <row r="285" spans="1:33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52"/>
      <c r="AF285" s="13"/>
      <c r="AG285" s="13"/>
    </row>
    <row r="286" spans="1:33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52"/>
      <c r="AF286" s="13"/>
      <c r="AG286" s="13"/>
    </row>
    <row r="287" spans="1:33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52"/>
      <c r="AF287" s="13"/>
      <c r="AG287" s="13"/>
    </row>
    <row r="288" spans="1:33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52"/>
      <c r="AF288" s="13"/>
      <c r="AG288" s="13"/>
    </row>
    <row r="289" spans="1:33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52"/>
      <c r="AF289" s="13"/>
      <c r="AG289" s="13"/>
    </row>
    <row r="290" spans="1:33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52"/>
      <c r="AF290" s="13"/>
      <c r="AG290" s="13"/>
    </row>
    <row r="291" spans="1:33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52"/>
      <c r="AF291" s="13"/>
      <c r="AG291" s="13"/>
    </row>
    <row r="292" spans="1:33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52"/>
      <c r="AF292" s="13"/>
      <c r="AG292" s="13"/>
    </row>
    <row r="293" spans="1:33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52"/>
      <c r="AF293" s="13"/>
      <c r="AG293" s="13"/>
    </row>
    <row r="294" spans="1:33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52"/>
      <c r="AF294" s="13"/>
      <c r="AG294" s="13"/>
    </row>
    <row r="295" spans="1:33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52"/>
      <c r="AF295" s="13"/>
      <c r="AG295" s="13"/>
    </row>
    <row r="296" spans="1:33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52"/>
      <c r="AF296" s="13"/>
      <c r="AG296" s="13"/>
    </row>
    <row r="297" spans="1:33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52"/>
      <c r="AF297" s="13"/>
      <c r="AG297" s="13"/>
    </row>
    <row r="298" spans="1:33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52"/>
      <c r="AF298" s="13"/>
      <c r="AG298" s="13"/>
    </row>
    <row r="299" spans="1:33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52"/>
      <c r="AF299" s="13"/>
      <c r="AG299" s="13"/>
    </row>
    <row r="300" spans="1:33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52"/>
      <c r="AF300" s="13"/>
      <c r="AG300" s="13"/>
    </row>
    <row r="301" spans="1:33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52"/>
      <c r="AF301" s="13"/>
      <c r="AG301" s="13"/>
    </row>
    <row r="302" spans="1:33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52"/>
      <c r="AF302" s="13"/>
      <c r="AG302" s="13"/>
    </row>
    <row r="303" spans="1:33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52"/>
      <c r="AF303" s="13"/>
      <c r="AG303" s="13"/>
    </row>
    <row r="304" spans="1:33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52"/>
      <c r="AF304" s="13"/>
      <c r="AG304" s="13"/>
    </row>
    <row r="305" spans="1:33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52"/>
      <c r="AF305" s="13"/>
      <c r="AG305" s="13"/>
    </row>
    <row r="306" spans="1:33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52"/>
      <c r="AF306" s="13"/>
      <c r="AG306" s="13"/>
    </row>
    <row r="307" spans="1:33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52"/>
      <c r="AF307" s="13"/>
      <c r="AG307" s="13"/>
    </row>
    <row r="308" spans="1:33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52"/>
      <c r="AF308" s="13"/>
      <c r="AG308" s="13"/>
    </row>
    <row r="309" spans="1:33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52"/>
      <c r="AF309" s="13"/>
      <c r="AG309" s="13"/>
    </row>
    <row r="310" spans="1:33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52"/>
      <c r="AF310" s="13"/>
      <c r="AG310" s="13"/>
    </row>
    <row r="311" spans="1:33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52"/>
      <c r="AF311" s="13"/>
      <c r="AG311" s="13"/>
    </row>
    <row r="312" spans="1:33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52"/>
      <c r="AF312" s="13"/>
      <c r="AG312" s="13"/>
    </row>
    <row r="313" spans="1:33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52"/>
      <c r="AF313" s="13"/>
      <c r="AG313" s="13"/>
    </row>
    <row r="314" spans="1:33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52"/>
      <c r="AF314" s="13"/>
      <c r="AG314" s="13"/>
    </row>
    <row r="315" spans="1:33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52"/>
      <c r="AF315" s="13"/>
      <c r="AG315" s="13"/>
    </row>
    <row r="316" spans="1:33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52"/>
      <c r="AF316" s="13"/>
      <c r="AG316" s="13"/>
    </row>
    <row r="317" spans="1:33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52"/>
      <c r="AF317" s="13"/>
      <c r="AG317" s="13"/>
    </row>
    <row r="318" spans="1:33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52"/>
      <c r="AF318" s="13"/>
      <c r="AG318" s="13"/>
    </row>
    <row r="319" spans="1:33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52"/>
      <c r="AF319" s="13"/>
      <c r="AG319" s="13"/>
    </row>
    <row r="320" spans="1:33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52"/>
      <c r="AF320" s="13"/>
      <c r="AG320" s="13"/>
    </row>
    <row r="321" spans="1:33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52"/>
      <c r="AF321" s="13"/>
      <c r="AG321" s="13"/>
    </row>
    <row r="322" spans="1:33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52"/>
      <c r="AF322" s="13"/>
      <c r="AG322" s="13"/>
    </row>
    <row r="323" spans="1:33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52"/>
      <c r="AF323" s="13"/>
      <c r="AG323" s="13"/>
    </row>
    <row r="324" spans="1:33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52"/>
      <c r="AF324" s="13"/>
      <c r="AG324" s="13"/>
    </row>
    <row r="325" spans="1:33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52"/>
      <c r="AF325" s="13"/>
      <c r="AG325" s="13"/>
    </row>
    <row r="326" spans="1:33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52"/>
      <c r="AF326" s="13"/>
      <c r="AG326" s="13"/>
    </row>
    <row r="327" spans="1:33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52"/>
      <c r="AF327" s="13"/>
      <c r="AG327" s="13"/>
    </row>
    <row r="328" spans="1:33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52"/>
      <c r="AF328" s="13"/>
      <c r="AG328" s="13"/>
    </row>
    <row r="329" spans="1:33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52"/>
      <c r="AF329" s="13"/>
      <c r="AG329" s="13"/>
    </row>
    <row r="330" spans="1:33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52"/>
      <c r="AF330" s="13"/>
      <c r="AG330" s="13"/>
    </row>
    <row r="331" spans="1:33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52"/>
      <c r="AF331" s="13"/>
      <c r="AG331" s="13"/>
    </row>
    <row r="332" spans="1:33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52"/>
      <c r="AF332" s="13"/>
      <c r="AG332" s="13"/>
    </row>
    <row r="333" spans="1:33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52"/>
      <c r="AF333" s="13"/>
      <c r="AG333" s="13"/>
    </row>
    <row r="334" spans="1:33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52"/>
      <c r="AF334" s="13"/>
      <c r="AG334" s="13"/>
    </row>
    <row r="335" spans="1:33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52"/>
      <c r="AF335" s="13"/>
      <c r="AG335" s="13"/>
    </row>
    <row r="336" spans="1:33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52"/>
      <c r="AF336" s="13"/>
      <c r="AG336" s="13"/>
    </row>
    <row r="337" spans="1:33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52"/>
      <c r="AF337" s="13"/>
      <c r="AG337" s="13"/>
    </row>
    <row r="338" spans="1:33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52"/>
      <c r="AF338" s="13"/>
      <c r="AG338" s="13"/>
    </row>
    <row r="339" spans="1:33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52"/>
      <c r="AF339" s="13"/>
      <c r="AG339" s="13"/>
    </row>
    <row r="340" spans="1:33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52"/>
      <c r="AF340" s="13"/>
      <c r="AG340" s="13"/>
    </row>
    <row r="341" spans="1:33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52"/>
      <c r="AF341" s="13"/>
      <c r="AG341" s="13"/>
    </row>
    <row r="342" spans="1:33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52"/>
      <c r="AF342" s="13"/>
      <c r="AG342" s="13"/>
    </row>
    <row r="343" spans="1:33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52"/>
      <c r="AF343" s="13"/>
      <c r="AG343" s="13"/>
    </row>
    <row r="344" spans="1:33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52"/>
      <c r="AF344" s="13"/>
      <c r="AG344" s="13"/>
    </row>
    <row r="345" spans="1:33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52"/>
      <c r="AF345" s="13"/>
      <c r="AG345" s="13"/>
    </row>
    <row r="346" spans="1:33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52"/>
      <c r="AF346" s="13"/>
      <c r="AG346" s="13"/>
    </row>
    <row r="347" spans="1:33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52"/>
      <c r="AF347" s="13"/>
      <c r="AG347" s="13"/>
    </row>
    <row r="348" spans="1:33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52"/>
      <c r="AF348" s="13"/>
      <c r="AG348" s="13"/>
    </row>
    <row r="349" spans="1:33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52"/>
      <c r="AF349" s="13"/>
      <c r="AG349" s="13"/>
    </row>
    <row r="350" spans="1:33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52"/>
      <c r="AF350" s="13"/>
      <c r="AG350" s="13"/>
    </row>
    <row r="351" spans="1:33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52"/>
      <c r="AF351" s="13"/>
      <c r="AG351" s="13"/>
    </row>
    <row r="352" spans="1:33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52"/>
      <c r="AF352" s="13"/>
      <c r="AG352" s="13"/>
    </row>
    <row r="353" spans="1:33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52"/>
      <c r="AF353" s="13"/>
      <c r="AG353" s="13"/>
    </row>
    <row r="354" spans="1:33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52"/>
      <c r="AF354" s="13"/>
      <c r="AG354" s="13"/>
    </row>
    <row r="355" spans="1:33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52"/>
      <c r="AF355" s="13"/>
      <c r="AG355" s="13"/>
    </row>
    <row r="356" spans="1:33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52"/>
      <c r="AF356" s="13"/>
      <c r="AG356" s="13"/>
    </row>
    <row r="357" spans="1:33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52"/>
      <c r="AF357" s="13"/>
      <c r="AG357" s="13"/>
    </row>
    <row r="358" spans="1:33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52"/>
      <c r="AF358" s="13"/>
      <c r="AG358" s="13"/>
    </row>
    <row r="359" spans="1:33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52"/>
      <c r="AF359" s="13"/>
      <c r="AG359" s="13"/>
    </row>
    <row r="360" spans="1:33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52"/>
      <c r="AF360" s="13"/>
      <c r="AG360" s="13"/>
    </row>
    <row r="361" spans="1:33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52"/>
      <c r="AF361" s="13"/>
      <c r="AG361" s="13"/>
    </row>
    <row r="362" spans="1:33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52"/>
      <c r="AF362" s="13"/>
      <c r="AG362" s="13"/>
    </row>
    <row r="363" spans="1:33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52"/>
      <c r="AF363" s="13"/>
      <c r="AG363" s="13"/>
    </row>
    <row r="364" spans="1:33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52"/>
      <c r="AF364" s="13"/>
      <c r="AG364" s="13"/>
    </row>
    <row r="365" spans="1:33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52"/>
      <c r="AF365" s="13"/>
      <c r="AG365" s="13"/>
    </row>
    <row r="366" spans="1:33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52"/>
      <c r="AF366" s="13"/>
      <c r="AG366" s="13"/>
    </row>
    <row r="367" spans="1:33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52"/>
      <c r="AF367" s="13"/>
      <c r="AG367" s="13"/>
    </row>
    <row r="368" spans="1:33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52"/>
      <c r="AF368" s="13"/>
      <c r="AG368" s="13"/>
    </row>
    <row r="369" spans="1:33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52"/>
      <c r="AF369" s="13"/>
      <c r="AG369" s="13"/>
    </row>
    <row r="370" spans="1:33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52"/>
      <c r="AF370" s="13"/>
      <c r="AG370" s="13"/>
    </row>
    <row r="371" spans="1:33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52"/>
      <c r="AF371" s="13"/>
      <c r="AG371" s="13"/>
    </row>
    <row r="372" spans="1:33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52"/>
      <c r="AF372" s="13"/>
      <c r="AG372" s="13"/>
    </row>
    <row r="373" spans="1:33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52"/>
      <c r="AF373" s="13"/>
      <c r="AG373" s="13"/>
    </row>
    <row r="374" spans="1:33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52"/>
      <c r="AF374" s="13"/>
      <c r="AG374" s="13"/>
    </row>
    <row r="375" spans="1:33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52"/>
      <c r="AF375" s="13"/>
      <c r="AG375" s="13"/>
    </row>
    <row r="376" spans="1:33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52"/>
      <c r="AF376" s="13"/>
      <c r="AG376" s="13"/>
    </row>
    <row r="377" spans="1:33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52"/>
      <c r="AF377" s="13"/>
      <c r="AG377" s="13"/>
    </row>
    <row r="378" spans="1:33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52"/>
      <c r="AF378" s="13"/>
      <c r="AG378" s="13"/>
    </row>
    <row r="379" spans="1:33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52"/>
      <c r="AF379" s="13"/>
      <c r="AG379" s="13"/>
    </row>
    <row r="380" spans="1:33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52"/>
      <c r="AF380" s="13"/>
      <c r="AG380" s="13"/>
    </row>
    <row r="381" spans="1:33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52"/>
      <c r="AF381" s="13"/>
      <c r="AG381" s="13"/>
    </row>
    <row r="382" spans="1:33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52"/>
      <c r="AF382" s="13"/>
      <c r="AG382" s="13"/>
    </row>
    <row r="383" spans="1:33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52"/>
      <c r="AF383" s="13"/>
      <c r="AG383" s="13"/>
    </row>
    <row r="384" spans="1:33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52"/>
      <c r="AF384" s="13"/>
      <c r="AG384" s="13"/>
    </row>
    <row r="385" spans="1:33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52"/>
      <c r="AF385" s="13"/>
      <c r="AG385" s="13"/>
    </row>
    <row r="386" spans="1:33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52"/>
      <c r="AF386" s="13"/>
      <c r="AG386" s="13"/>
    </row>
    <row r="387" spans="1:33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52"/>
      <c r="AF387" s="13"/>
      <c r="AG387" s="13"/>
    </row>
    <row r="388" spans="1:33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52"/>
      <c r="AF388" s="13"/>
      <c r="AG388" s="13"/>
    </row>
    <row r="389" spans="1:33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52"/>
      <c r="AF389" s="13"/>
      <c r="AG389" s="13"/>
    </row>
    <row r="390" spans="1:33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52"/>
      <c r="AF390" s="13"/>
      <c r="AG390" s="13"/>
    </row>
    <row r="391" spans="1:33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52"/>
      <c r="AF391" s="13"/>
      <c r="AG391" s="13"/>
    </row>
    <row r="392" spans="1:33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52"/>
      <c r="AF392" s="13"/>
      <c r="AG392" s="13"/>
    </row>
    <row r="393" spans="1:33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52"/>
      <c r="AF393" s="13"/>
      <c r="AG393" s="13"/>
    </row>
    <row r="394" spans="1:33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52"/>
      <c r="AF394" s="13"/>
      <c r="AG394" s="13"/>
    </row>
    <row r="395" spans="1:33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52"/>
      <c r="AF395" s="13"/>
      <c r="AG395" s="13"/>
    </row>
    <row r="396" spans="1:33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52"/>
      <c r="AF396" s="13"/>
      <c r="AG396" s="13"/>
    </row>
    <row r="397" spans="1:33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52"/>
      <c r="AF397" s="13"/>
      <c r="AG397" s="13"/>
    </row>
    <row r="398" spans="1:33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52"/>
      <c r="AF398" s="13"/>
      <c r="AG398" s="13"/>
    </row>
    <row r="399" spans="1:33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52"/>
      <c r="AF399" s="13"/>
      <c r="AG399" s="13"/>
    </row>
    <row r="400" spans="1:33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52"/>
      <c r="AF400" s="13"/>
      <c r="AG400" s="13"/>
    </row>
    <row r="401" spans="1:33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52"/>
      <c r="AF401" s="13"/>
      <c r="AG401" s="13"/>
    </row>
    <row r="402" spans="1:33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52"/>
      <c r="AF402" s="13"/>
      <c r="AG402" s="13"/>
    </row>
    <row r="403" spans="1:33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52"/>
      <c r="AF403" s="13"/>
      <c r="AG403" s="13"/>
    </row>
    <row r="404" spans="1:33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52"/>
      <c r="AF404" s="13"/>
      <c r="AG404" s="13"/>
    </row>
    <row r="405" spans="1:33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52"/>
      <c r="AF405" s="13"/>
      <c r="AG405" s="13"/>
    </row>
    <row r="406" spans="1:33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52"/>
      <c r="AF406" s="13"/>
      <c r="AG406" s="13"/>
    </row>
    <row r="407" spans="1:33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52"/>
      <c r="AF407" s="13"/>
      <c r="AG407" s="13"/>
    </row>
    <row r="408" spans="1:33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52"/>
      <c r="AF408" s="13"/>
      <c r="AG408" s="13"/>
    </row>
    <row r="409" spans="1:33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52"/>
      <c r="AF409" s="13"/>
      <c r="AG409" s="13"/>
    </row>
    <row r="410" spans="1:33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52"/>
      <c r="AF410" s="13"/>
      <c r="AG410" s="13"/>
    </row>
    <row r="411" spans="1:33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52"/>
      <c r="AF411" s="13"/>
      <c r="AG411" s="13"/>
    </row>
    <row r="412" spans="1:33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52"/>
      <c r="AF412" s="13"/>
      <c r="AG412" s="13"/>
    </row>
    <row r="413" spans="1:33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52"/>
      <c r="AF413" s="13"/>
      <c r="AG413" s="13"/>
    </row>
    <row r="414" spans="1:33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52"/>
      <c r="AF414" s="13"/>
      <c r="AG414" s="13"/>
    </row>
    <row r="415" spans="1:33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52"/>
      <c r="AF415" s="13"/>
      <c r="AG415" s="13"/>
    </row>
    <row r="416" spans="1:33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52"/>
      <c r="AF416" s="13"/>
      <c r="AG416" s="13"/>
    </row>
    <row r="417" spans="1:33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52"/>
      <c r="AF417" s="13"/>
      <c r="AG417" s="13"/>
    </row>
    <row r="418" spans="1:33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52"/>
      <c r="AF418" s="13"/>
      <c r="AG418" s="13"/>
    </row>
    <row r="419" spans="1:33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52"/>
      <c r="AF419" s="13"/>
      <c r="AG419" s="13"/>
    </row>
    <row r="420" spans="1:33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52"/>
      <c r="AF420" s="13"/>
      <c r="AG420" s="13"/>
    </row>
    <row r="421" spans="1:33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52"/>
      <c r="AF421" s="13"/>
      <c r="AG421" s="13"/>
    </row>
    <row r="422" spans="1:33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52"/>
      <c r="AF422" s="13"/>
      <c r="AG422" s="13"/>
    </row>
    <row r="423" spans="1:33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52"/>
      <c r="AF423" s="13"/>
      <c r="AG423" s="13"/>
    </row>
    <row r="424" spans="1:33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52"/>
      <c r="AF424" s="13"/>
      <c r="AG424" s="13"/>
    </row>
    <row r="425" spans="1:33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52"/>
      <c r="AF425" s="13"/>
      <c r="AG425" s="13"/>
    </row>
    <row r="426" spans="1:33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52"/>
      <c r="AF426" s="13"/>
      <c r="AG426" s="13"/>
    </row>
    <row r="427" spans="1:33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52"/>
      <c r="AF427" s="13"/>
      <c r="AG427" s="13"/>
    </row>
    <row r="428" spans="1:33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52"/>
      <c r="AF428" s="13"/>
      <c r="AG428" s="13"/>
    </row>
    <row r="429" spans="1:33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52"/>
      <c r="AF429" s="13"/>
      <c r="AG429" s="13"/>
    </row>
    <row r="430" spans="1:33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52"/>
      <c r="AF430" s="13"/>
      <c r="AG430" s="13"/>
    </row>
    <row r="431" spans="1:33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52"/>
      <c r="AF431" s="13"/>
      <c r="AG431" s="13"/>
    </row>
    <row r="432" spans="1:33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52"/>
      <c r="AF432" s="13"/>
      <c r="AG432" s="13"/>
    </row>
    <row r="433" spans="1:33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52"/>
      <c r="AF433" s="13"/>
      <c r="AG433" s="13"/>
    </row>
    <row r="434" spans="1:33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52"/>
      <c r="AF434" s="13"/>
      <c r="AG434" s="13"/>
    </row>
    <row r="435" spans="1:33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52"/>
      <c r="AF435" s="13"/>
      <c r="AG435" s="13"/>
    </row>
    <row r="436" spans="1:33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52"/>
      <c r="AF436" s="13"/>
      <c r="AG436" s="13"/>
    </row>
    <row r="437" spans="1:33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52"/>
      <c r="AF437" s="13"/>
      <c r="AG437" s="13"/>
    </row>
    <row r="438" spans="1:33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52"/>
      <c r="AF438" s="13"/>
      <c r="AG438" s="13"/>
    </row>
    <row r="439" spans="1:33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52"/>
      <c r="AF439" s="13"/>
      <c r="AG439" s="13"/>
    </row>
    <row r="440" spans="1:33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52"/>
      <c r="AF440" s="13"/>
      <c r="AG440" s="13"/>
    </row>
    <row r="441" spans="1:33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52"/>
      <c r="AF441" s="13"/>
      <c r="AG441" s="13"/>
    </row>
    <row r="442" spans="1:33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52"/>
      <c r="AF442" s="13"/>
      <c r="AG442" s="13"/>
    </row>
    <row r="443" spans="1:33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52"/>
      <c r="AF443" s="13"/>
      <c r="AG443" s="13"/>
    </row>
    <row r="444" spans="1:33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52"/>
      <c r="AF444" s="13"/>
      <c r="AG444" s="13"/>
    </row>
    <row r="445" spans="1:33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52"/>
      <c r="AF445" s="13"/>
      <c r="AG445" s="13"/>
    </row>
    <row r="446" spans="1:33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52"/>
      <c r="AF446" s="13"/>
      <c r="AG446" s="13"/>
    </row>
    <row r="447" spans="1:33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52"/>
      <c r="AF447" s="13"/>
      <c r="AG447" s="13"/>
    </row>
    <row r="448" spans="1:33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52"/>
      <c r="AF448" s="13"/>
      <c r="AG448" s="13"/>
    </row>
    <row r="449" spans="1:33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52"/>
      <c r="AF449" s="13"/>
      <c r="AG449" s="13"/>
    </row>
    <row r="450" spans="1:33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52"/>
      <c r="AF450" s="13"/>
      <c r="AG450" s="13"/>
    </row>
    <row r="451" spans="1:33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52"/>
      <c r="AF451" s="13"/>
      <c r="AG451" s="13"/>
    </row>
    <row r="452" spans="1:33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52"/>
      <c r="AF452" s="13"/>
      <c r="AG452" s="13"/>
    </row>
    <row r="453" spans="1:33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52"/>
      <c r="AF453" s="13"/>
      <c r="AG453" s="13"/>
    </row>
    <row r="454" spans="1:33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52"/>
      <c r="AF454" s="13"/>
      <c r="AG454" s="13"/>
    </row>
    <row r="455" spans="1:33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52"/>
      <c r="AF455" s="13"/>
      <c r="AG455" s="13"/>
    </row>
    <row r="456" spans="1:33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52"/>
      <c r="AF456" s="13"/>
      <c r="AG456" s="13"/>
    </row>
    <row r="457" spans="1:33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52"/>
      <c r="AF457" s="13"/>
      <c r="AG457" s="13"/>
    </row>
    <row r="458" spans="1:33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52"/>
      <c r="AF458" s="13"/>
      <c r="AG458" s="13"/>
    </row>
    <row r="459" spans="1:33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52"/>
      <c r="AF459" s="13"/>
      <c r="AG459" s="13"/>
    </row>
    <row r="460" spans="1:33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52"/>
      <c r="AF460" s="13"/>
      <c r="AG460" s="13"/>
    </row>
    <row r="461" spans="1:33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52"/>
      <c r="AF461" s="13"/>
      <c r="AG461" s="13"/>
    </row>
    <row r="462" spans="1:33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52"/>
      <c r="AF462" s="13"/>
      <c r="AG462" s="13"/>
    </row>
    <row r="463" spans="1:33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52"/>
      <c r="AF463" s="13"/>
      <c r="AG463" s="13"/>
    </row>
    <row r="464" spans="1:33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52"/>
      <c r="AF464" s="13"/>
      <c r="AG464" s="13"/>
    </row>
    <row r="465" spans="1:33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52"/>
      <c r="AF465" s="13"/>
      <c r="AG465" s="13"/>
    </row>
    <row r="466" spans="1:33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52"/>
      <c r="AF466" s="13"/>
      <c r="AG466" s="13"/>
    </row>
    <row r="467" spans="1:33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52"/>
      <c r="AF467" s="13"/>
      <c r="AG467" s="13"/>
    </row>
    <row r="468" spans="1:33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52"/>
      <c r="AF468" s="13"/>
      <c r="AG468" s="13"/>
    </row>
    <row r="469" spans="1:33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52"/>
      <c r="AF469" s="13"/>
      <c r="AG469" s="13"/>
    </row>
    <row r="470" spans="1:33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52"/>
      <c r="AF470" s="13"/>
      <c r="AG470" s="13"/>
    </row>
    <row r="471" spans="1:33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52"/>
      <c r="AF471" s="13"/>
      <c r="AG471" s="13"/>
    </row>
    <row r="472" spans="1:33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52"/>
      <c r="AF472" s="13"/>
      <c r="AG472" s="13"/>
    </row>
    <row r="473" spans="1:33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52"/>
      <c r="AF473" s="13"/>
      <c r="AG473" s="13"/>
    </row>
    <row r="474" spans="1:33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52"/>
      <c r="AF474" s="13"/>
      <c r="AG474" s="13"/>
    </row>
    <row r="475" spans="1:33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52"/>
      <c r="AF475" s="13"/>
      <c r="AG475" s="13"/>
    </row>
    <row r="476" spans="1:33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52"/>
      <c r="AF476" s="13"/>
      <c r="AG476" s="13"/>
    </row>
    <row r="477" spans="1:33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52"/>
      <c r="AF477" s="13"/>
      <c r="AG477" s="13"/>
    </row>
    <row r="478" spans="1:33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52"/>
      <c r="AF478" s="13"/>
      <c r="AG478" s="13"/>
    </row>
    <row r="479" spans="1:33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52"/>
      <c r="AF479" s="13"/>
      <c r="AG479" s="13"/>
    </row>
    <row r="480" spans="1:33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52"/>
      <c r="AF480" s="13"/>
      <c r="AG480" s="13"/>
    </row>
    <row r="481" spans="1:33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52"/>
      <c r="AF481" s="13"/>
      <c r="AG481" s="13"/>
    </row>
    <row r="482" spans="1:33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52"/>
      <c r="AF482" s="13"/>
      <c r="AG482" s="13"/>
    </row>
    <row r="483" spans="1:33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52"/>
      <c r="AF483" s="13"/>
      <c r="AG483" s="13"/>
    </row>
    <row r="484" spans="1:33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52"/>
      <c r="AF484" s="13"/>
      <c r="AG484" s="13"/>
    </row>
    <row r="485" spans="1:33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52"/>
      <c r="AF485" s="13"/>
      <c r="AG485" s="13"/>
    </row>
    <row r="486" spans="1:33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52"/>
      <c r="AF486" s="13"/>
      <c r="AG486" s="13"/>
    </row>
    <row r="487" spans="1:33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52"/>
      <c r="AF487" s="13"/>
      <c r="AG487" s="13"/>
    </row>
    <row r="488" spans="1:33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52"/>
      <c r="AF488" s="13"/>
      <c r="AG488" s="13"/>
    </row>
    <row r="489" spans="1:33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52"/>
      <c r="AF489" s="13"/>
      <c r="AG489" s="13"/>
    </row>
    <row r="490" spans="1:33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52"/>
      <c r="AF490" s="13"/>
      <c r="AG490" s="13"/>
    </row>
    <row r="491" spans="1:33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52"/>
      <c r="AF491" s="13"/>
      <c r="AG491" s="13"/>
    </row>
    <row r="492" spans="1:33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52"/>
      <c r="AF492" s="13"/>
      <c r="AG492" s="13"/>
    </row>
    <row r="493" spans="1:33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52"/>
      <c r="AF493" s="13"/>
      <c r="AG493" s="13"/>
    </row>
    <row r="494" spans="1:33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52"/>
      <c r="AF494" s="13"/>
      <c r="AG494" s="13"/>
    </row>
    <row r="495" spans="1:33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52"/>
      <c r="AF495" s="13"/>
      <c r="AG495" s="13"/>
    </row>
    <row r="496" spans="1:33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52"/>
      <c r="AF496" s="13"/>
      <c r="AG496" s="13"/>
    </row>
    <row r="497" spans="1:33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52"/>
      <c r="AF497" s="13"/>
      <c r="AG497" s="13"/>
    </row>
    <row r="498" spans="1:33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52"/>
      <c r="AF498" s="13"/>
      <c r="AG498" s="13"/>
    </row>
    <row r="499" spans="1:33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52"/>
      <c r="AF499" s="13"/>
      <c r="AG499" s="13"/>
    </row>
    <row r="500" spans="1:33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52"/>
      <c r="AF500" s="13"/>
      <c r="AG500" s="13"/>
    </row>
    <row r="501" spans="1:33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52"/>
      <c r="AF501" s="13"/>
      <c r="AG501" s="13"/>
    </row>
    <row r="502" spans="1:33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52"/>
      <c r="AF502" s="13"/>
      <c r="AG502" s="13"/>
    </row>
    <row r="503" spans="1:33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52"/>
      <c r="AF503" s="13"/>
      <c r="AG503" s="13"/>
    </row>
    <row r="504" spans="1:33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52"/>
      <c r="AF504" s="13"/>
      <c r="AG504" s="13"/>
    </row>
    <row r="505" spans="1:33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52"/>
      <c r="AF505" s="13"/>
      <c r="AG505" s="13"/>
    </row>
    <row r="506" spans="1:33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52"/>
      <c r="AF506" s="13"/>
      <c r="AG506" s="13"/>
    </row>
    <row r="507" spans="1:33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52"/>
      <c r="AF507" s="13"/>
      <c r="AG507" s="13"/>
    </row>
    <row r="508" spans="1:33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52"/>
      <c r="AF508" s="13"/>
      <c r="AG508" s="13"/>
    </row>
    <row r="509" spans="1:33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52"/>
      <c r="AF509" s="13"/>
      <c r="AG509" s="13"/>
    </row>
    <row r="510" spans="1:33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52"/>
      <c r="AF510" s="13"/>
      <c r="AG510" s="13"/>
    </row>
    <row r="511" spans="1:33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52"/>
      <c r="AF511" s="13"/>
      <c r="AG511" s="13"/>
    </row>
    <row r="512" spans="1:33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52"/>
      <c r="AF512" s="13"/>
      <c r="AG512" s="13"/>
    </row>
    <row r="513" spans="1:33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52"/>
      <c r="AF513" s="13"/>
      <c r="AG513" s="13"/>
    </row>
    <row r="514" spans="1:33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52"/>
      <c r="AF514" s="13"/>
      <c r="AG514" s="13"/>
    </row>
    <row r="515" spans="1:33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52"/>
      <c r="AF515" s="13"/>
      <c r="AG515" s="13"/>
    </row>
    <row r="516" spans="1:33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52"/>
      <c r="AF516" s="13"/>
      <c r="AG516" s="13"/>
    </row>
    <row r="517" spans="1:33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52"/>
      <c r="AF517" s="13"/>
      <c r="AG517" s="13"/>
    </row>
    <row r="518" spans="1:33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52"/>
      <c r="AF518" s="13"/>
      <c r="AG518" s="13"/>
    </row>
    <row r="519" spans="1:33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52"/>
      <c r="AF519" s="13"/>
      <c r="AG519" s="13"/>
    </row>
    <row r="520" spans="1:33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52"/>
      <c r="AF520" s="13"/>
      <c r="AG520" s="13"/>
    </row>
    <row r="521" spans="1:33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52"/>
      <c r="AF521" s="13"/>
      <c r="AG521" s="13"/>
    </row>
    <row r="522" spans="1:33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52"/>
      <c r="AF522" s="13"/>
      <c r="AG522" s="13"/>
    </row>
    <row r="523" spans="1:33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52"/>
      <c r="AF523" s="13"/>
      <c r="AG523" s="13"/>
    </row>
    <row r="524" spans="1:33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52"/>
      <c r="AF524" s="13"/>
      <c r="AG524" s="13"/>
    </row>
    <row r="525" spans="1:33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52"/>
      <c r="AF525" s="13"/>
      <c r="AG525" s="13"/>
    </row>
    <row r="526" spans="1:33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52"/>
      <c r="AF526" s="13"/>
      <c r="AG526" s="13"/>
    </row>
    <row r="527" spans="1:33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52"/>
      <c r="AF527" s="13"/>
      <c r="AG527" s="13"/>
    </row>
    <row r="528" spans="1:33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52"/>
      <c r="AF528" s="13"/>
      <c r="AG528" s="13"/>
    </row>
    <row r="529" spans="1:33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52"/>
      <c r="AF529" s="13"/>
      <c r="AG529" s="13"/>
    </row>
    <row r="530" spans="1:33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52"/>
      <c r="AF530" s="13"/>
      <c r="AG530" s="13"/>
    </row>
    <row r="531" spans="1:33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52"/>
      <c r="AF531" s="13"/>
      <c r="AG531" s="13"/>
    </row>
    <row r="532" spans="1:33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52"/>
      <c r="AF532" s="13"/>
      <c r="AG532" s="13"/>
    </row>
    <row r="533" spans="1:33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52"/>
      <c r="AF533" s="13"/>
      <c r="AG533" s="13"/>
    </row>
    <row r="534" spans="1:33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52"/>
      <c r="AF534" s="13"/>
      <c r="AG534" s="13"/>
    </row>
    <row r="535" spans="1:33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52"/>
      <c r="AF535" s="13"/>
      <c r="AG535" s="13"/>
    </row>
    <row r="536" spans="1:33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52"/>
      <c r="AF536" s="13"/>
      <c r="AG536" s="13"/>
    </row>
    <row r="537" spans="1:33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52"/>
      <c r="AF537" s="13"/>
      <c r="AG537" s="13"/>
    </row>
    <row r="538" spans="1:33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52"/>
      <c r="AF538" s="13"/>
      <c r="AG538" s="13"/>
    </row>
    <row r="539" spans="1:33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52"/>
      <c r="AF539" s="13"/>
      <c r="AG539" s="13"/>
    </row>
    <row r="540" spans="1:33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52"/>
      <c r="AF540" s="13"/>
      <c r="AG540" s="13"/>
    </row>
    <row r="541" spans="1:33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52"/>
      <c r="AF541" s="13"/>
      <c r="AG541" s="13"/>
    </row>
    <row r="542" spans="1:33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52"/>
      <c r="AF542" s="13"/>
      <c r="AG542" s="13"/>
    </row>
    <row r="543" spans="1:33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52"/>
      <c r="AF543" s="13"/>
      <c r="AG543" s="13"/>
    </row>
    <row r="544" spans="1:33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52"/>
      <c r="AF544" s="13"/>
      <c r="AG544" s="13"/>
    </row>
    <row r="545" spans="1:33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52"/>
      <c r="AF545" s="13"/>
      <c r="AG545" s="13"/>
    </row>
    <row r="546" spans="1:33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52"/>
      <c r="AF546" s="13"/>
      <c r="AG546" s="13"/>
    </row>
    <row r="547" spans="1:33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52"/>
      <c r="AF547" s="13"/>
      <c r="AG547" s="13"/>
    </row>
    <row r="548" spans="1:33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52"/>
      <c r="AF548" s="13"/>
      <c r="AG548" s="13"/>
    </row>
    <row r="549" spans="1:33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52"/>
      <c r="AF549" s="13"/>
      <c r="AG549" s="13"/>
    </row>
    <row r="550" spans="1:33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52"/>
      <c r="AF550" s="13"/>
      <c r="AG550" s="13"/>
    </row>
    <row r="551" spans="1:33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52"/>
      <c r="AF551" s="13"/>
      <c r="AG551" s="13"/>
    </row>
    <row r="552" spans="1:33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52"/>
      <c r="AF552" s="13"/>
      <c r="AG552" s="13"/>
    </row>
    <row r="553" spans="1:33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52"/>
      <c r="AF553" s="13"/>
      <c r="AG553" s="13"/>
    </row>
    <row r="554" spans="1:33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52"/>
      <c r="AF554" s="13"/>
      <c r="AG554" s="13"/>
    </row>
    <row r="555" spans="1:33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52"/>
      <c r="AF555" s="13"/>
      <c r="AG555" s="13"/>
    </row>
    <row r="556" spans="1:33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52"/>
      <c r="AF556" s="13"/>
      <c r="AG556" s="13"/>
    </row>
    <row r="557" spans="1:33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52"/>
      <c r="AF557" s="13"/>
      <c r="AG557" s="13"/>
    </row>
    <row r="558" spans="1:33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52"/>
      <c r="AF558" s="13"/>
      <c r="AG558" s="13"/>
    </row>
    <row r="559" spans="1:33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52"/>
      <c r="AF559" s="13"/>
      <c r="AG559" s="13"/>
    </row>
    <row r="560" spans="1:33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52"/>
      <c r="AF560" s="13"/>
      <c r="AG560" s="13"/>
    </row>
    <row r="561" spans="1:33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52"/>
      <c r="AF561" s="13"/>
      <c r="AG561" s="13"/>
    </row>
    <row r="562" spans="1:33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52"/>
      <c r="AF562" s="13"/>
      <c r="AG562" s="13"/>
    </row>
    <row r="563" spans="1:33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52"/>
      <c r="AF563" s="13"/>
      <c r="AG563" s="13"/>
    </row>
    <row r="564" spans="1:33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52"/>
      <c r="AF564" s="13"/>
      <c r="AG564" s="13"/>
    </row>
    <row r="565" spans="1:33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52"/>
      <c r="AF565" s="13"/>
      <c r="AG565" s="13"/>
    </row>
    <row r="566" spans="1:33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52"/>
      <c r="AF566" s="13"/>
      <c r="AG566" s="13"/>
    </row>
    <row r="567" spans="1:33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52"/>
      <c r="AF567" s="13"/>
      <c r="AG567" s="13"/>
    </row>
    <row r="568" spans="1:33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52"/>
      <c r="AF568" s="13"/>
      <c r="AG568" s="13"/>
    </row>
    <row r="569" spans="1:33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52"/>
      <c r="AF569" s="13"/>
      <c r="AG569" s="13"/>
    </row>
    <row r="570" spans="1:33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52"/>
      <c r="AF570" s="13"/>
      <c r="AG570" s="13"/>
    </row>
    <row r="571" spans="1:33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52"/>
      <c r="AF571" s="13"/>
      <c r="AG571" s="13"/>
    </row>
    <row r="572" spans="1:33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52"/>
      <c r="AF572" s="13"/>
      <c r="AG572" s="13"/>
    </row>
    <row r="573" spans="1:33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52"/>
      <c r="AF573" s="13"/>
      <c r="AG573" s="13"/>
    </row>
    <row r="574" spans="1:33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52"/>
      <c r="AF574" s="13"/>
      <c r="AG574" s="13"/>
    </row>
    <row r="575" spans="1:33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52"/>
      <c r="AF575" s="13"/>
      <c r="AG575" s="13"/>
    </row>
    <row r="576" spans="1:33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52"/>
      <c r="AF576" s="13"/>
      <c r="AG576" s="13"/>
    </row>
    <row r="577" spans="1:33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52"/>
      <c r="AF577" s="13"/>
      <c r="AG577" s="13"/>
    </row>
    <row r="578" spans="1:33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52"/>
      <c r="AF578" s="13"/>
      <c r="AG578" s="13"/>
    </row>
    <row r="579" spans="1:33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52"/>
      <c r="AF579" s="13"/>
      <c r="AG579" s="13"/>
    </row>
    <row r="580" spans="1:33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52"/>
      <c r="AF580" s="13"/>
      <c r="AG580" s="13"/>
    </row>
    <row r="581" spans="1:33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52"/>
      <c r="AF581" s="13"/>
      <c r="AG581" s="13"/>
    </row>
    <row r="582" spans="1:33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52"/>
      <c r="AF582" s="13"/>
      <c r="AG582" s="13"/>
    </row>
    <row r="583" spans="1:33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52"/>
      <c r="AF583" s="13"/>
      <c r="AG583" s="13"/>
    </row>
    <row r="584" spans="1:33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52"/>
      <c r="AF584" s="13"/>
      <c r="AG584" s="13"/>
    </row>
    <row r="585" spans="1:33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52"/>
      <c r="AF585" s="13"/>
      <c r="AG585" s="13"/>
    </row>
    <row r="586" spans="1:33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52"/>
      <c r="AF586" s="13"/>
      <c r="AG586" s="13"/>
    </row>
    <row r="587" spans="1:33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52"/>
      <c r="AF587" s="13"/>
      <c r="AG587" s="13"/>
    </row>
    <row r="588" spans="1:33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52"/>
      <c r="AF588" s="13"/>
      <c r="AG588" s="13"/>
    </row>
    <row r="589" spans="1:33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52"/>
      <c r="AF589" s="13"/>
      <c r="AG589" s="13"/>
    </row>
    <row r="590" spans="1:33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52"/>
      <c r="AF590" s="13"/>
      <c r="AG590" s="13"/>
    </row>
    <row r="591" spans="1:33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52"/>
      <c r="AF591" s="13"/>
      <c r="AG591" s="13"/>
    </row>
    <row r="592" spans="1:33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52"/>
      <c r="AF592" s="13"/>
      <c r="AG592" s="13"/>
    </row>
    <row r="593" spans="1:33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52"/>
      <c r="AF593" s="13"/>
      <c r="AG593" s="13"/>
    </row>
    <row r="594" spans="1:33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52"/>
      <c r="AF594" s="13"/>
      <c r="AG594" s="13"/>
    </row>
    <row r="595" spans="1:33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52"/>
      <c r="AF595" s="13"/>
      <c r="AG595" s="13"/>
    </row>
    <row r="596" spans="1:33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52"/>
      <c r="AF596" s="13"/>
      <c r="AG596" s="13"/>
    </row>
    <row r="597" spans="1:33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52"/>
      <c r="AF597" s="13"/>
      <c r="AG597" s="13"/>
    </row>
    <row r="598" spans="1:33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52"/>
      <c r="AF598" s="13"/>
      <c r="AG598" s="13"/>
    </row>
    <row r="599" spans="1:33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52"/>
      <c r="AF599" s="13"/>
      <c r="AG599" s="13"/>
    </row>
    <row r="600" spans="1:33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52"/>
      <c r="AF600" s="13"/>
      <c r="AG600" s="13"/>
    </row>
    <row r="601" spans="1:33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52"/>
      <c r="AF601" s="13"/>
      <c r="AG601" s="13"/>
    </row>
    <row r="602" spans="1:33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52"/>
      <c r="AF602" s="13"/>
      <c r="AG602" s="13"/>
    </row>
    <row r="603" spans="1:33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52"/>
      <c r="AF603" s="13"/>
      <c r="AG603" s="13"/>
    </row>
    <row r="604" spans="1:33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52"/>
      <c r="AF604" s="13"/>
      <c r="AG604" s="13"/>
    </row>
    <row r="605" spans="1:33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52"/>
      <c r="AF605" s="13"/>
      <c r="AG605" s="13"/>
    </row>
    <row r="606" spans="1:33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52"/>
      <c r="AF606" s="13"/>
      <c r="AG606" s="13"/>
    </row>
    <row r="607" spans="1:33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52"/>
      <c r="AF607" s="13"/>
      <c r="AG607" s="13"/>
    </row>
    <row r="608" spans="1:33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52"/>
      <c r="AF608" s="13"/>
      <c r="AG608" s="13"/>
    </row>
    <row r="609" spans="1:33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52"/>
      <c r="AF609" s="13"/>
      <c r="AG609" s="13"/>
    </row>
    <row r="610" spans="1:33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52"/>
      <c r="AF610" s="13"/>
      <c r="AG610" s="13"/>
    </row>
    <row r="611" spans="1:33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52"/>
      <c r="AF611" s="13"/>
      <c r="AG611" s="13"/>
    </row>
    <row r="612" spans="1:33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52"/>
      <c r="AF612" s="13"/>
      <c r="AG612" s="13"/>
    </row>
    <row r="613" spans="1:33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52"/>
      <c r="AF613" s="13"/>
      <c r="AG613" s="13"/>
    </row>
    <row r="614" spans="1:33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52"/>
      <c r="AF614" s="13"/>
      <c r="AG614" s="13"/>
    </row>
    <row r="615" spans="1:33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52"/>
      <c r="AF615" s="13"/>
      <c r="AG615" s="13"/>
    </row>
    <row r="616" spans="1:33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52"/>
      <c r="AF616" s="13"/>
      <c r="AG616" s="13"/>
    </row>
    <row r="617" spans="1:33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52"/>
      <c r="AF617" s="13"/>
      <c r="AG617" s="13"/>
    </row>
    <row r="618" spans="1:33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52"/>
      <c r="AF618" s="13"/>
      <c r="AG618" s="13"/>
    </row>
    <row r="619" spans="1:33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52"/>
      <c r="AF619" s="13"/>
      <c r="AG619" s="13"/>
    </row>
    <row r="620" spans="1:33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52"/>
      <c r="AF620" s="13"/>
      <c r="AG620" s="13"/>
    </row>
    <row r="621" spans="1:33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52"/>
      <c r="AF621" s="13"/>
      <c r="AG621" s="13"/>
    </row>
    <row r="622" spans="1:33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52"/>
      <c r="AF622" s="13"/>
      <c r="AG622" s="13"/>
    </row>
    <row r="623" spans="1:33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52"/>
      <c r="AF623" s="13"/>
      <c r="AG623" s="13"/>
    </row>
    <row r="624" spans="1:33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52"/>
      <c r="AF624" s="13"/>
      <c r="AG624" s="13"/>
    </row>
    <row r="625" spans="1:33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52"/>
      <c r="AF625" s="13"/>
      <c r="AG625" s="13"/>
    </row>
    <row r="626" spans="1:33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52"/>
      <c r="AF626" s="13"/>
      <c r="AG626" s="13"/>
    </row>
    <row r="627" spans="1:33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52"/>
      <c r="AF627" s="13"/>
      <c r="AG627" s="13"/>
    </row>
    <row r="628" spans="1:33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52"/>
      <c r="AF628" s="13"/>
      <c r="AG628" s="13"/>
    </row>
    <row r="629" spans="1:33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52"/>
      <c r="AF629" s="13"/>
      <c r="AG629" s="13"/>
    </row>
    <row r="630" spans="1:33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52"/>
      <c r="AF630" s="13"/>
      <c r="AG630" s="13"/>
    </row>
    <row r="631" spans="1:33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52"/>
      <c r="AF631" s="13"/>
      <c r="AG631" s="13"/>
    </row>
    <row r="632" spans="1:33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52"/>
      <c r="AF632" s="13"/>
      <c r="AG632" s="13"/>
    </row>
    <row r="633" spans="1:33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52"/>
      <c r="AF633" s="13"/>
      <c r="AG633" s="13"/>
    </row>
    <row r="634" spans="1:33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52"/>
      <c r="AF634" s="13"/>
      <c r="AG634" s="13"/>
    </row>
    <row r="635" spans="1:33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52"/>
      <c r="AF635" s="13"/>
      <c r="AG635" s="13"/>
    </row>
    <row r="636" spans="1:33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52"/>
      <c r="AF636" s="13"/>
      <c r="AG636" s="13"/>
    </row>
    <row r="637" spans="1:33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52"/>
      <c r="AF637" s="13"/>
      <c r="AG637" s="13"/>
    </row>
    <row r="638" spans="1:33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52"/>
      <c r="AF638" s="13"/>
      <c r="AG638" s="13"/>
    </row>
    <row r="639" spans="1:33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52"/>
      <c r="AF639" s="13"/>
      <c r="AG639" s="13"/>
    </row>
    <row r="640" spans="1:33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52"/>
      <c r="AF640" s="13"/>
      <c r="AG640" s="13"/>
    </row>
    <row r="641" spans="1:33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52"/>
      <c r="AF641" s="13"/>
      <c r="AG641" s="13"/>
    </row>
    <row r="642" spans="1:33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52"/>
      <c r="AF642" s="13"/>
      <c r="AG642" s="13"/>
    </row>
    <row r="643" spans="1:33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52"/>
      <c r="AF643" s="13"/>
      <c r="AG643" s="13"/>
    </row>
    <row r="644" spans="1:33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52"/>
      <c r="AF644" s="13"/>
      <c r="AG644" s="13"/>
    </row>
    <row r="645" spans="1:33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52"/>
      <c r="AF645" s="13"/>
      <c r="AG645" s="13"/>
    </row>
    <row r="646" spans="1:33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52"/>
      <c r="AF646" s="13"/>
      <c r="AG646" s="13"/>
    </row>
    <row r="647" spans="1:33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52"/>
      <c r="AF647" s="13"/>
      <c r="AG647" s="13"/>
    </row>
    <row r="648" spans="1:33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52"/>
      <c r="AF648" s="13"/>
      <c r="AG648" s="13"/>
    </row>
    <row r="649" spans="1:33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52"/>
      <c r="AF649" s="13"/>
      <c r="AG649" s="13"/>
    </row>
    <row r="650" spans="1:33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52"/>
      <c r="AF650" s="13"/>
      <c r="AG650" s="13"/>
    </row>
    <row r="651" spans="1:33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52"/>
      <c r="AF651" s="13"/>
      <c r="AG651" s="13"/>
    </row>
    <row r="652" spans="1:33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52"/>
      <c r="AF652" s="13"/>
      <c r="AG652" s="13"/>
    </row>
    <row r="653" spans="1:33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52"/>
      <c r="AF653" s="13"/>
      <c r="AG653" s="13"/>
    </row>
    <row r="654" spans="1:33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52"/>
      <c r="AF654" s="13"/>
      <c r="AG654" s="13"/>
    </row>
    <row r="655" spans="1:33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52"/>
      <c r="AF655" s="13"/>
      <c r="AG655" s="13"/>
    </row>
    <row r="656" spans="1:33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52"/>
      <c r="AF656" s="13"/>
      <c r="AG656" s="13"/>
    </row>
    <row r="657" spans="1:33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52"/>
      <c r="AF657" s="13"/>
      <c r="AG657" s="13"/>
    </row>
    <row r="658" spans="1:33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52"/>
      <c r="AF658" s="13"/>
      <c r="AG658" s="13"/>
    </row>
    <row r="659" spans="1:33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52"/>
      <c r="AF659" s="13"/>
      <c r="AG659" s="13"/>
    </row>
    <row r="660" spans="1:33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52"/>
      <c r="AF660" s="13"/>
      <c r="AG660" s="13"/>
    </row>
    <row r="661" spans="1:33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52"/>
      <c r="AF661" s="13"/>
      <c r="AG661" s="13"/>
    </row>
    <row r="662" spans="1:33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52"/>
      <c r="AF662" s="13"/>
      <c r="AG662" s="13"/>
    </row>
    <row r="663" spans="1:33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52"/>
      <c r="AF663" s="13"/>
      <c r="AG663" s="13"/>
    </row>
    <row r="664" spans="1:33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52"/>
      <c r="AF664" s="13"/>
      <c r="AG664" s="13"/>
    </row>
    <row r="665" spans="1:33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52"/>
      <c r="AF665" s="13"/>
      <c r="AG665" s="13"/>
    </row>
    <row r="666" spans="1:33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52"/>
      <c r="AF666" s="13"/>
      <c r="AG666" s="13"/>
    </row>
    <row r="667" spans="1:33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52"/>
      <c r="AF667" s="13"/>
      <c r="AG667" s="13"/>
    </row>
    <row r="668" spans="1:33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52"/>
      <c r="AF668" s="13"/>
      <c r="AG668" s="13"/>
    </row>
    <row r="669" spans="1:33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52"/>
      <c r="AF669" s="13"/>
      <c r="AG669" s="13"/>
    </row>
    <row r="670" spans="1:33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52"/>
      <c r="AF670" s="13"/>
      <c r="AG670" s="13"/>
    </row>
    <row r="671" spans="1:33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52"/>
      <c r="AF671" s="13"/>
      <c r="AG671" s="13"/>
    </row>
    <row r="672" spans="1:33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52"/>
      <c r="AF672" s="13"/>
      <c r="AG672" s="13"/>
    </row>
    <row r="673" spans="1:33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52"/>
      <c r="AF673" s="13"/>
      <c r="AG673" s="13"/>
    </row>
    <row r="674" spans="1:33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52"/>
      <c r="AF674" s="13"/>
      <c r="AG674" s="13"/>
    </row>
    <row r="675" spans="1:33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52"/>
      <c r="AF675" s="13"/>
      <c r="AG675" s="13"/>
    </row>
    <row r="676" spans="1:33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52"/>
      <c r="AF676" s="13"/>
      <c r="AG676" s="13"/>
    </row>
    <row r="677" spans="1:33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52"/>
      <c r="AF677" s="13"/>
      <c r="AG677" s="13"/>
    </row>
    <row r="678" spans="1:33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52"/>
      <c r="AF678" s="13"/>
      <c r="AG678" s="13"/>
    </row>
    <row r="679" spans="1:33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52"/>
      <c r="AF679" s="13"/>
      <c r="AG679" s="13"/>
    </row>
    <row r="680" spans="1:33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52"/>
      <c r="AF680" s="13"/>
      <c r="AG680" s="13"/>
    </row>
    <row r="681" spans="1:33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52"/>
      <c r="AF681" s="13"/>
      <c r="AG681" s="13"/>
    </row>
    <row r="682" spans="1:33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52"/>
      <c r="AF682" s="13"/>
      <c r="AG682" s="13"/>
    </row>
    <row r="683" spans="1:33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52"/>
      <c r="AF683" s="13"/>
      <c r="AG683" s="13"/>
    </row>
    <row r="684" spans="1:33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52"/>
      <c r="AF684" s="13"/>
      <c r="AG684" s="13"/>
    </row>
    <row r="685" spans="1:33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52"/>
      <c r="AF685" s="13"/>
      <c r="AG685" s="13"/>
    </row>
    <row r="686" spans="1:33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52"/>
      <c r="AF686" s="13"/>
      <c r="AG686" s="13"/>
    </row>
    <row r="687" spans="1:33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52"/>
      <c r="AF687" s="13"/>
      <c r="AG687" s="13"/>
    </row>
    <row r="688" spans="1:33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52"/>
      <c r="AF688" s="13"/>
      <c r="AG688" s="13"/>
    </row>
    <row r="689" spans="1:33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52"/>
      <c r="AF689" s="13"/>
      <c r="AG689" s="13"/>
    </row>
    <row r="690" spans="1:33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52"/>
      <c r="AF690" s="13"/>
      <c r="AG690" s="13"/>
    </row>
    <row r="691" spans="1:33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52"/>
      <c r="AF691" s="13"/>
      <c r="AG691" s="13"/>
    </row>
    <row r="692" spans="1:33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52"/>
      <c r="AF692" s="13"/>
      <c r="AG692" s="13"/>
    </row>
    <row r="693" spans="1:33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52"/>
      <c r="AF693" s="13"/>
      <c r="AG693" s="13"/>
    </row>
    <row r="694" spans="1:33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52"/>
      <c r="AF694" s="13"/>
      <c r="AG694" s="13"/>
    </row>
    <row r="695" spans="1:33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52"/>
      <c r="AF695" s="13"/>
      <c r="AG695" s="13"/>
    </row>
    <row r="696" spans="1:33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52"/>
      <c r="AF696" s="13"/>
      <c r="AG696" s="13"/>
    </row>
    <row r="697" spans="1:33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52"/>
      <c r="AF697" s="13"/>
      <c r="AG697" s="13"/>
    </row>
    <row r="698" spans="1:33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52"/>
      <c r="AF698" s="13"/>
      <c r="AG698" s="13"/>
    </row>
    <row r="699" spans="1:33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52"/>
      <c r="AF699" s="13"/>
      <c r="AG699" s="13"/>
    </row>
    <row r="700" spans="1:33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52"/>
      <c r="AF700" s="13"/>
      <c r="AG700" s="13"/>
    </row>
    <row r="701" spans="1:33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52"/>
      <c r="AF701" s="13"/>
      <c r="AG701" s="13"/>
    </row>
    <row r="702" spans="1:33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52"/>
      <c r="AF702" s="13"/>
      <c r="AG702" s="13"/>
    </row>
    <row r="703" spans="1:33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52"/>
      <c r="AF703" s="13"/>
      <c r="AG703" s="13"/>
    </row>
    <row r="704" spans="1:33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52"/>
      <c r="AF704" s="13"/>
      <c r="AG704" s="13"/>
    </row>
    <row r="705" spans="1:33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52"/>
      <c r="AF705" s="13"/>
      <c r="AG705" s="13"/>
    </row>
    <row r="706" spans="1:33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52"/>
      <c r="AF706" s="13"/>
      <c r="AG706" s="13"/>
    </row>
    <row r="707" spans="1:33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52"/>
      <c r="AF707" s="13"/>
      <c r="AG707" s="13"/>
    </row>
    <row r="708" spans="1:33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52"/>
      <c r="AF708" s="13"/>
      <c r="AG708" s="13"/>
    </row>
    <row r="709" spans="1:33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52"/>
      <c r="AF709" s="13"/>
      <c r="AG709" s="13"/>
    </row>
    <row r="710" spans="1:33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52"/>
      <c r="AF710" s="13"/>
      <c r="AG710" s="13"/>
    </row>
    <row r="711" spans="1:33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52"/>
      <c r="AF711" s="13"/>
      <c r="AG711" s="13"/>
    </row>
    <row r="712" spans="1:33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52"/>
      <c r="AF712" s="13"/>
      <c r="AG712" s="13"/>
    </row>
    <row r="713" spans="1:33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52"/>
      <c r="AF713" s="13"/>
      <c r="AG713" s="13"/>
    </row>
    <row r="714" spans="1:33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52"/>
      <c r="AF714" s="13"/>
      <c r="AG714" s="13"/>
    </row>
    <row r="715" spans="1:33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52"/>
      <c r="AF715" s="13"/>
      <c r="AG715" s="13"/>
    </row>
    <row r="716" spans="1:33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52"/>
      <c r="AF716" s="13"/>
      <c r="AG716" s="13"/>
    </row>
    <row r="717" spans="1:33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52"/>
      <c r="AF717" s="13"/>
      <c r="AG717" s="13"/>
    </row>
    <row r="718" spans="1:33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52"/>
      <c r="AF718" s="13"/>
      <c r="AG718" s="13"/>
    </row>
    <row r="719" spans="1:33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52"/>
      <c r="AF719" s="13"/>
      <c r="AG719" s="13"/>
    </row>
    <row r="720" spans="1:33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52"/>
      <c r="AF720" s="13"/>
      <c r="AG720" s="13"/>
    </row>
    <row r="721" spans="1:33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52"/>
      <c r="AF721" s="13"/>
      <c r="AG721" s="13"/>
    </row>
    <row r="722" spans="1:33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52"/>
      <c r="AF722" s="13"/>
      <c r="AG722" s="13"/>
    </row>
    <row r="723" spans="1:33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52"/>
      <c r="AF723" s="13"/>
      <c r="AG723" s="13"/>
    </row>
    <row r="724" spans="1:33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52"/>
      <c r="AF724" s="13"/>
      <c r="AG724" s="13"/>
    </row>
    <row r="725" spans="1:33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52"/>
      <c r="AF725" s="13"/>
      <c r="AG725" s="13"/>
    </row>
    <row r="726" spans="1:33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52"/>
      <c r="AF726" s="13"/>
      <c r="AG726" s="13"/>
    </row>
    <row r="727" spans="1:33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52"/>
      <c r="AF727" s="13"/>
      <c r="AG727" s="13"/>
    </row>
    <row r="728" spans="1:33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52"/>
      <c r="AF728" s="13"/>
      <c r="AG728" s="13"/>
    </row>
    <row r="729" spans="1:33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52"/>
      <c r="AF729" s="13"/>
      <c r="AG729" s="13"/>
    </row>
    <row r="730" spans="1:33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52"/>
      <c r="AF730" s="13"/>
      <c r="AG730" s="13"/>
    </row>
    <row r="731" spans="1:33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52"/>
      <c r="AF731" s="13"/>
      <c r="AG731" s="13"/>
    </row>
    <row r="732" spans="1:33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52"/>
      <c r="AF732" s="13"/>
      <c r="AG732" s="13"/>
    </row>
    <row r="733" spans="1:33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52"/>
      <c r="AF733" s="13"/>
      <c r="AG733" s="13"/>
    </row>
    <row r="734" spans="1:33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52"/>
      <c r="AF734" s="13"/>
      <c r="AG734" s="13"/>
    </row>
    <row r="735" spans="1:33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52"/>
      <c r="AF735" s="13"/>
      <c r="AG735" s="13"/>
    </row>
    <row r="736" spans="1:33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52"/>
      <c r="AF736" s="13"/>
      <c r="AG736" s="13"/>
    </row>
    <row r="737" spans="1:33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52"/>
      <c r="AF737" s="13"/>
      <c r="AG737" s="13"/>
    </row>
    <row r="738" spans="1:33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52"/>
      <c r="AF738" s="13"/>
      <c r="AG738" s="13"/>
    </row>
    <row r="739" spans="1:33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52"/>
      <c r="AF739" s="13"/>
      <c r="AG739" s="13"/>
    </row>
    <row r="740" spans="1:33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52"/>
      <c r="AF740" s="13"/>
      <c r="AG740" s="13"/>
    </row>
    <row r="741" spans="1:33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52"/>
      <c r="AF741" s="13"/>
      <c r="AG741" s="13"/>
    </row>
    <row r="742" spans="1:33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52"/>
      <c r="AF742" s="13"/>
      <c r="AG742" s="13"/>
    </row>
    <row r="743" spans="1:33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52"/>
      <c r="AF743" s="13"/>
      <c r="AG743" s="13"/>
    </row>
    <row r="744" spans="1:33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52"/>
      <c r="AF744" s="13"/>
      <c r="AG744" s="13"/>
    </row>
    <row r="745" spans="1:33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52"/>
      <c r="AF745" s="13"/>
      <c r="AG745" s="13"/>
    </row>
    <row r="746" spans="1:33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52"/>
      <c r="AF746" s="13"/>
      <c r="AG746" s="13"/>
    </row>
    <row r="747" spans="1:33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52"/>
      <c r="AF747" s="13"/>
      <c r="AG747" s="13"/>
    </row>
    <row r="748" spans="1:33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52"/>
      <c r="AF748" s="13"/>
      <c r="AG748" s="13"/>
    </row>
    <row r="749" spans="1:33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52"/>
      <c r="AF749" s="13"/>
      <c r="AG749" s="13"/>
    </row>
    <row r="750" spans="1:33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52"/>
      <c r="AF750" s="13"/>
      <c r="AG750" s="13"/>
    </row>
    <row r="751" spans="1:33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52"/>
      <c r="AF751" s="13"/>
      <c r="AG751" s="13"/>
    </row>
    <row r="752" spans="1:33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52"/>
      <c r="AF752" s="13"/>
      <c r="AG752" s="13"/>
    </row>
    <row r="753" spans="1:33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52"/>
      <c r="AF753" s="13"/>
      <c r="AG753" s="13"/>
    </row>
    <row r="754" spans="1:33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52"/>
      <c r="AF754" s="13"/>
      <c r="AG754" s="13"/>
    </row>
    <row r="755" spans="1:33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52"/>
      <c r="AF755" s="13"/>
      <c r="AG755" s="13"/>
    </row>
    <row r="756" spans="1:33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52"/>
      <c r="AF756" s="13"/>
      <c r="AG756" s="13"/>
    </row>
    <row r="757" spans="1:33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52"/>
      <c r="AF757" s="13"/>
      <c r="AG757" s="13"/>
    </row>
    <row r="758" spans="1:33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52"/>
      <c r="AF758" s="13"/>
      <c r="AG758" s="13"/>
    </row>
    <row r="759" spans="1:33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52"/>
      <c r="AF759" s="13"/>
      <c r="AG759" s="13"/>
    </row>
    <row r="760" spans="1:33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52"/>
      <c r="AF760" s="13"/>
      <c r="AG760" s="13"/>
    </row>
    <row r="761" spans="1:33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52"/>
      <c r="AF761" s="13"/>
      <c r="AG761" s="13"/>
    </row>
    <row r="762" spans="1:33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52"/>
      <c r="AF762" s="13"/>
      <c r="AG762" s="13"/>
    </row>
    <row r="763" spans="1:33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52"/>
      <c r="AF763" s="13"/>
      <c r="AG763" s="13"/>
    </row>
    <row r="764" spans="1:33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52"/>
      <c r="AF764" s="13"/>
      <c r="AG764" s="13"/>
    </row>
    <row r="765" spans="1:33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52"/>
      <c r="AF765" s="13"/>
      <c r="AG765" s="13"/>
    </row>
    <row r="766" spans="1:33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52"/>
      <c r="AF766" s="13"/>
      <c r="AG766" s="13"/>
    </row>
    <row r="767" spans="1:33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52"/>
      <c r="AF767" s="13"/>
      <c r="AG767" s="13"/>
    </row>
    <row r="768" spans="1:33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52"/>
      <c r="AF768" s="13"/>
      <c r="AG768" s="13"/>
    </row>
    <row r="769" spans="1:33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52"/>
      <c r="AF769" s="13"/>
      <c r="AG769" s="13"/>
    </row>
    <row r="770" spans="1:33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52"/>
      <c r="AF770" s="13"/>
      <c r="AG770" s="13"/>
    </row>
    <row r="771" spans="1:33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52"/>
      <c r="AF771" s="13"/>
      <c r="AG771" s="13"/>
    </row>
    <row r="772" spans="1:33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52"/>
      <c r="AF772" s="13"/>
      <c r="AG772" s="13"/>
    </row>
    <row r="773" spans="1:33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52"/>
      <c r="AF773" s="13"/>
      <c r="AG773" s="13"/>
    </row>
    <row r="774" spans="1:33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52"/>
      <c r="AF774" s="13"/>
      <c r="AG774" s="13"/>
    </row>
    <row r="775" spans="1:33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52"/>
      <c r="AF775" s="13"/>
      <c r="AG775" s="13"/>
    </row>
    <row r="776" spans="1:33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52"/>
      <c r="AF776" s="13"/>
      <c r="AG776" s="13"/>
    </row>
    <row r="777" spans="1:33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52"/>
      <c r="AF777" s="13"/>
      <c r="AG777" s="13"/>
    </row>
    <row r="778" spans="1:33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52"/>
      <c r="AF778" s="13"/>
      <c r="AG778" s="13"/>
    </row>
    <row r="779" spans="1:33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52"/>
      <c r="AF779" s="13"/>
      <c r="AG779" s="13"/>
    </row>
    <row r="780" spans="1:33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52"/>
      <c r="AF780" s="13"/>
      <c r="AG780" s="13"/>
    </row>
    <row r="781" spans="1:33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52"/>
      <c r="AF781" s="13"/>
      <c r="AG781" s="13"/>
    </row>
    <row r="782" spans="1:33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52"/>
      <c r="AF782" s="13"/>
      <c r="AG782" s="13"/>
    </row>
    <row r="783" spans="1:33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52"/>
      <c r="AF783" s="13"/>
      <c r="AG783" s="13"/>
    </row>
    <row r="784" spans="1:33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52"/>
      <c r="AF784" s="13"/>
      <c r="AG784" s="13"/>
    </row>
    <row r="785" spans="1:33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52"/>
      <c r="AF785" s="13"/>
      <c r="AG785" s="13"/>
    </row>
    <row r="786" spans="1:33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52"/>
      <c r="AF786" s="13"/>
      <c r="AG786" s="13"/>
    </row>
    <row r="787" spans="1:33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52"/>
      <c r="AF787" s="13"/>
      <c r="AG787" s="13"/>
    </row>
    <row r="788" spans="1:33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52"/>
      <c r="AF788" s="13"/>
      <c r="AG788" s="13"/>
    </row>
    <row r="789" spans="1:33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52"/>
      <c r="AF789" s="13"/>
      <c r="AG789" s="13"/>
    </row>
    <row r="790" spans="1:33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52"/>
      <c r="AF790" s="13"/>
      <c r="AG790" s="13"/>
    </row>
    <row r="791" spans="1:33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52"/>
      <c r="AF791" s="13"/>
      <c r="AG791" s="13"/>
    </row>
    <row r="792" spans="1:33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52"/>
      <c r="AF792" s="13"/>
      <c r="AG792" s="13"/>
    </row>
    <row r="793" spans="1:33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52"/>
      <c r="AF793" s="13"/>
      <c r="AG793" s="13"/>
    </row>
    <row r="794" spans="1:33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52"/>
      <c r="AF794" s="13"/>
      <c r="AG794" s="13"/>
    </row>
    <row r="795" spans="1:33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52"/>
      <c r="AF795" s="13"/>
      <c r="AG795" s="13"/>
    </row>
    <row r="796" spans="1:33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52"/>
      <c r="AF796" s="13"/>
      <c r="AG796" s="13"/>
    </row>
    <row r="797" spans="1:33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52"/>
      <c r="AF797" s="13"/>
      <c r="AG797" s="13"/>
    </row>
    <row r="798" spans="1:33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52"/>
      <c r="AF798" s="13"/>
      <c r="AG798" s="13"/>
    </row>
    <row r="799" spans="1:33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52"/>
      <c r="AF799" s="13"/>
      <c r="AG799" s="13"/>
    </row>
    <row r="800" spans="1:33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52"/>
      <c r="AF800" s="13"/>
      <c r="AG800" s="13"/>
    </row>
    <row r="801" spans="1:33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52"/>
      <c r="AF801" s="13"/>
      <c r="AG801" s="13"/>
    </row>
    <row r="802" spans="1:33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52"/>
      <c r="AF802" s="13"/>
      <c r="AG802" s="13"/>
    </row>
    <row r="803" spans="1:33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52"/>
      <c r="AF803" s="13"/>
      <c r="AG803" s="13"/>
    </row>
    <row r="804" spans="1:33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52"/>
      <c r="AF804" s="13"/>
      <c r="AG804" s="13"/>
    </row>
    <row r="805" spans="1:33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52"/>
      <c r="AF805" s="13"/>
      <c r="AG805" s="13"/>
    </row>
    <row r="806" spans="1:33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52"/>
      <c r="AF806" s="13"/>
      <c r="AG806" s="13"/>
    </row>
    <row r="807" spans="1:33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52"/>
      <c r="AF807" s="13"/>
      <c r="AG807" s="13"/>
    </row>
    <row r="808" spans="1:33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52"/>
      <c r="AF808" s="13"/>
      <c r="AG808" s="13"/>
    </row>
    <row r="809" spans="1:33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52"/>
      <c r="AF809" s="13"/>
      <c r="AG809" s="13"/>
    </row>
    <row r="810" spans="1:33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52"/>
      <c r="AF810" s="13"/>
      <c r="AG810" s="13"/>
    </row>
    <row r="811" spans="1:33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52"/>
      <c r="AF811" s="13"/>
      <c r="AG811" s="13"/>
    </row>
    <row r="812" spans="1:33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52"/>
      <c r="AF812" s="13"/>
      <c r="AG812" s="13"/>
    </row>
    <row r="813" spans="1:33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52"/>
      <c r="AF813" s="13"/>
      <c r="AG813" s="13"/>
    </row>
    <row r="814" spans="1:33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52"/>
      <c r="AF814" s="13"/>
      <c r="AG814" s="13"/>
    </row>
    <row r="815" spans="1:33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52"/>
      <c r="AF815" s="13"/>
      <c r="AG815" s="13"/>
    </row>
    <row r="816" spans="1:33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52"/>
      <c r="AF816" s="13"/>
      <c r="AG816" s="13"/>
    </row>
    <row r="817" spans="1:33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52"/>
      <c r="AF817" s="13"/>
      <c r="AG817" s="13"/>
    </row>
    <row r="818" spans="1:33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52"/>
      <c r="AF818" s="13"/>
      <c r="AG818" s="13"/>
    </row>
    <row r="819" spans="1:33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52"/>
      <c r="AF819" s="13"/>
      <c r="AG819" s="13"/>
    </row>
    <row r="820" spans="1:33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52"/>
      <c r="AF820" s="13"/>
      <c r="AG820" s="13"/>
    </row>
    <row r="821" spans="1:33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52"/>
      <c r="AF821" s="13"/>
      <c r="AG821" s="13"/>
    </row>
    <row r="822" spans="1:33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52"/>
      <c r="AF822" s="13"/>
      <c r="AG822" s="13"/>
    </row>
    <row r="823" spans="1:33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52"/>
      <c r="AF823" s="13"/>
      <c r="AG823" s="13"/>
    </row>
    <row r="824" spans="1:33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52"/>
      <c r="AF824" s="13"/>
      <c r="AG824" s="13"/>
    </row>
    <row r="825" spans="1:33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52"/>
      <c r="AF825" s="13"/>
      <c r="AG825" s="13"/>
    </row>
    <row r="826" spans="1:33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52"/>
      <c r="AF826" s="13"/>
      <c r="AG826" s="13"/>
    </row>
    <row r="827" spans="1:33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52"/>
      <c r="AF827" s="13"/>
      <c r="AG827" s="13"/>
    </row>
    <row r="828" spans="1:33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52"/>
      <c r="AF828" s="13"/>
      <c r="AG828" s="13"/>
    </row>
    <row r="829" spans="1:33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52"/>
      <c r="AF829" s="13"/>
      <c r="AG829" s="13"/>
    </row>
    <row r="830" spans="1:33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52"/>
      <c r="AF830" s="13"/>
      <c r="AG830" s="13"/>
    </row>
    <row r="831" spans="1:33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52"/>
      <c r="AF831" s="13"/>
      <c r="AG831" s="13"/>
    </row>
    <row r="832" spans="1:33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52"/>
      <c r="AF832" s="13"/>
      <c r="AG832" s="13"/>
    </row>
    <row r="833" spans="1:33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52"/>
      <c r="AF833" s="13"/>
      <c r="AG833" s="13"/>
    </row>
    <row r="834" spans="1:33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52"/>
      <c r="AF834" s="13"/>
      <c r="AG834" s="13"/>
    </row>
    <row r="835" spans="1:33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52"/>
      <c r="AF835" s="13"/>
      <c r="AG835" s="13"/>
    </row>
    <row r="836" spans="1:33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52"/>
      <c r="AF836" s="13"/>
      <c r="AG836" s="13"/>
    </row>
    <row r="837" spans="1:33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52"/>
      <c r="AF837" s="13"/>
      <c r="AG837" s="13"/>
    </row>
    <row r="838" spans="1:33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52"/>
      <c r="AF838" s="13"/>
      <c r="AG838" s="13"/>
    </row>
    <row r="839" spans="1:33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52"/>
      <c r="AF839" s="13"/>
      <c r="AG839" s="13"/>
    </row>
    <row r="840" spans="1:33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52"/>
      <c r="AF840" s="13"/>
      <c r="AG840" s="13"/>
    </row>
    <row r="841" spans="1:33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52"/>
      <c r="AF841" s="13"/>
      <c r="AG841" s="13"/>
    </row>
    <row r="842" spans="1:33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52"/>
      <c r="AF842" s="13"/>
      <c r="AG842" s="13"/>
    </row>
    <row r="843" spans="1:33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52"/>
      <c r="AF843" s="13"/>
      <c r="AG843" s="13"/>
    </row>
    <row r="844" spans="1:33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52"/>
      <c r="AF844" s="13"/>
      <c r="AG844" s="13"/>
    </row>
    <row r="845" spans="1:33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52"/>
      <c r="AF845" s="13"/>
      <c r="AG845" s="13"/>
    </row>
    <row r="846" spans="1:33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52"/>
      <c r="AF846" s="13"/>
      <c r="AG846" s="13"/>
    </row>
    <row r="847" spans="1:33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52"/>
      <c r="AF847" s="13"/>
      <c r="AG847" s="13"/>
    </row>
    <row r="848" spans="1:33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52"/>
      <c r="AF848" s="13"/>
      <c r="AG848" s="13"/>
    </row>
    <row r="849" spans="1:33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52"/>
      <c r="AF849" s="13"/>
      <c r="AG849" s="13"/>
    </row>
    <row r="850" spans="1:33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52"/>
      <c r="AF850" s="13"/>
      <c r="AG850" s="13"/>
    </row>
    <row r="851" spans="1:33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52"/>
      <c r="AF851" s="13"/>
      <c r="AG851" s="13"/>
    </row>
    <row r="852" spans="1:33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52"/>
      <c r="AF852" s="13"/>
      <c r="AG852" s="13"/>
    </row>
    <row r="853" spans="1:33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52"/>
      <c r="AF853" s="13"/>
      <c r="AG853" s="13"/>
    </row>
    <row r="854" spans="1:33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52"/>
      <c r="AF854" s="13"/>
      <c r="AG854" s="13"/>
    </row>
    <row r="855" spans="1:33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52"/>
      <c r="AF855" s="13"/>
      <c r="AG855" s="13"/>
    </row>
    <row r="856" spans="1:33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52"/>
      <c r="AF856" s="13"/>
      <c r="AG856" s="13"/>
    </row>
    <row r="857" spans="1:33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52"/>
      <c r="AF857" s="13"/>
      <c r="AG857" s="13"/>
    </row>
    <row r="858" spans="1:33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52"/>
      <c r="AF858" s="13"/>
      <c r="AG858" s="13"/>
    </row>
    <row r="859" spans="1:33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52"/>
      <c r="AF859" s="13"/>
      <c r="AG859" s="13"/>
    </row>
    <row r="860" spans="1:33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52"/>
      <c r="AF860" s="13"/>
      <c r="AG860" s="13"/>
    </row>
    <row r="861" spans="1:33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52"/>
      <c r="AF861" s="13"/>
      <c r="AG861" s="13"/>
    </row>
    <row r="862" spans="1:33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52"/>
      <c r="AF862" s="13"/>
      <c r="AG862" s="13"/>
    </row>
    <row r="863" spans="1:33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52"/>
      <c r="AF863" s="13"/>
      <c r="AG863" s="13"/>
    </row>
    <row r="864" spans="1:33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52"/>
      <c r="AF864" s="13"/>
      <c r="AG864" s="13"/>
    </row>
    <row r="865" spans="1:33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52"/>
      <c r="AF865" s="13"/>
      <c r="AG865" s="13"/>
    </row>
    <row r="866" spans="1:33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52"/>
      <c r="AF866" s="13"/>
      <c r="AG866" s="13"/>
    </row>
    <row r="867" spans="1:33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52"/>
      <c r="AF867" s="13"/>
      <c r="AG867" s="13"/>
    </row>
    <row r="868" spans="1:33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52"/>
      <c r="AF868" s="13"/>
      <c r="AG868" s="13"/>
    </row>
    <row r="869" spans="1:33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52"/>
      <c r="AF869" s="13"/>
      <c r="AG869" s="13"/>
    </row>
    <row r="870" spans="1:33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52"/>
      <c r="AF870" s="13"/>
      <c r="AG870" s="13"/>
    </row>
    <row r="871" spans="1:33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52"/>
      <c r="AF871" s="13"/>
      <c r="AG871" s="13"/>
    </row>
    <row r="872" spans="1:33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52"/>
      <c r="AF872" s="13"/>
      <c r="AG872" s="13"/>
    </row>
    <row r="873" spans="1:33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52"/>
      <c r="AF873" s="13"/>
      <c r="AG873" s="13"/>
    </row>
    <row r="874" spans="1:33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52"/>
      <c r="AF874" s="13"/>
      <c r="AG874" s="13"/>
    </row>
    <row r="875" spans="1:33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52"/>
      <c r="AF875" s="13"/>
      <c r="AG875" s="13"/>
    </row>
    <row r="876" spans="1:33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52"/>
      <c r="AF876" s="13"/>
      <c r="AG876" s="13"/>
    </row>
    <row r="877" spans="1:33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52"/>
      <c r="AF877" s="13"/>
      <c r="AG877" s="13"/>
    </row>
    <row r="878" spans="1:33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52"/>
      <c r="AF878" s="13"/>
      <c r="AG878" s="13"/>
    </row>
    <row r="879" spans="1:33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52"/>
      <c r="AF879" s="13"/>
      <c r="AG879" s="13"/>
    </row>
    <row r="880" spans="1:33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52"/>
      <c r="AF880" s="13"/>
      <c r="AG880" s="13"/>
    </row>
    <row r="881" spans="1:33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52"/>
      <c r="AF881" s="13"/>
      <c r="AG881" s="13"/>
    </row>
    <row r="882" spans="1:33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52"/>
      <c r="AF882" s="13"/>
      <c r="AG882" s="13"/>
    </row>
    <row r="883" spans="1:33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52"/>
      <c r="AF883" s="13"/>
      <c r="AG883" s="13"/>
    </row>
    <row r="884" spans="1:33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52"/>
      <c r="AF884" s="13"/>
      <c r="AG884" s="13"/>
    </row>
    <row r="885" spans="1:33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52"/>
      <c r="AF885" s="13"/>
      <c r="AG885" s="13"/>
    </row>
    <row r="886" spans="1:33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52"/>
      <c r="AF886" s="13"/>
      <c r="AG886" s="13"/>
    </row>
    <row r="887" spans="1:33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52"/>
      <c r="AF887" s="13"/>
      <c r="AG887" s="13"/>
    </row>
    <row r="888" spans="1:33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52"/>
      <c r="AF888" s="13"/>
      <c r="AG888" s="13"/>
    </row>
    <row r="889" spans="1:33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52"/>
      <c r="AF889" s="13"/>
      <c r="AG889" s="13"/>
    </row>
    <row r="890" spans="1:33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52"/>
      <c r="AF890" s="13"/>
      <c r="AG890" s="13"/>
    </row>
    <row r="891" spans="1:33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52"/>
      <c r="AF891" s="13"/>
      <c r="AG891" s="13"/>
    </row>
    <row r="892" spans="1:33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52"/>
      <c r="AF892" s="13"/>
      <c r="AG892" s="13"/>
    </row>
    <row r="893" spans="1:33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52"/>
      <c r="AF893" s="13"/>
      <c r="AG893" s="13"/>
    </row>
    <row r="894" spans="1:33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52"/>
      <c r="AF894" s="13"/>
      <c r="AG894" s="13"/>
    </row>
    <row r="895" spans="1:33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52"/>
      <c r="AF895" s="13"/>
      <c r="AG895" s="13"/>
    </row>
    <row r="896" spans="1:33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52"/>
      <c r="AF896" s="13"/>
      <c r="AG896" s="13"/>
    </row>
    <row r="897" spans="1:33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52"/>
      <c r="AF897" s="13"/>
      <c r="AG897" s="13"/>
    </row>
    <row r="898" spans="1:33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52"/>
      <c r="AF898" s="13"/>
      <c r="AG898" s="13"/>
    </row>
    <row r="899" spans="1:33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52"/>
      <c r="AF899" s="13"/>
      <c r="AG899" s="13"/>
    </row>
    <row r="900" spans="1:33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52"/>
      <c r="AF900" s="13"/>
      <c r="AG900" s="13"/>
    </row>
    <row r="901" spans="1:33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52"/>
      <c r="AF901" s="13"/>
      <c r="AG901" s="13"/>
    </row>
    <row r="902" spans="1:33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52"/>
      <c r="AF902" s="13"/>
      <c r="AG902" s="13"/>
    </row>
    <row r="903" spans="1:33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52"/>
      <c r="AF903" s="13"/>
      <c r="AG903" s="13"/>
    </row>
    <row r="904" spans="1:33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52"/>
      <c r="AF904" s="13"/>
      <c r="AG904" s="13"/>
    </row>
    <row r="905" spans="1:33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52"/>
      <c r="AF905" s="13"/>
      <c r="AG905" s="13"/>
    </row>
    <row r="906" spans="1:33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52"/>
      <c r="AF906" s="13"/>
      <c r="AG906" s="13"/>
    </row>
    <row r="907" spans="1:33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52"/>
      <c r="AF907" s="13"/>
      <c r="AG907" s="13"/>
    </row>
    <row r="908" spans="1:33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52"/>
      <c r="AF908" s="13"/>
      <c r="AG908" s="13"/>
    </row>
    <row r="909" spans="1:33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52"/>
      <c r="AF909" s="13"/>
      <c r="AG909" s="13"/>
    </row>
    <row r="910" spans="1:33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52"/>
      <c r="AF910" s="13"/>
      <c r="AG910" s="13"/>
    </row>
    <row r="911" spans="1:33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52"/>
      <c r="AF911" s="13"/>
      <c r="AG911" s="13"/>
    </row>
    <row r="912" spans="1:33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52"/>
      <c r="AF912" s="13"/>
      <c r="AG912" s="13"/>
    </row>
    <row r="913" spans="1:33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52"/>
      <c r="AF913" s="13"/>
      <c r="AG913" s="13"/>
    </row>
    <row r="914" spans="1:33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52"/>
      <c r="AF914" s="13"/>
      <c r="AG914" s="13"/>
    </row>
    <row r="915" spans="1:33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52"/>
      <c r="AF915" s="13"/>
      <c r="AG915" s="13"/>
    </row>
    <row r="916" spans="1:33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52"/>
      <c r="AF916" s="13"/>
      <c r="AG916" s="13"/>
    </row>
    <row r="917" spans="1:33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52"/>
      <c r="AF917" s="13"/>
      <c r="AG917" s="13"/>
    </row>
    <row r="918" spans="1:33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52"/>
      <c r="AF918" s="13"/>
      <c r="AG918" s="13"/>
    </row>
    <row r="919" spans="1:33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52"/>
      <c r="AF919" s="13"/>
      <c r="AG919" s="13"/>
    </row>
    <row r="920" spans="1:33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52"/>
      <c r="AF920" s="13"/>
      <c r="AG920" s="13"/>
    </row>
    <row r="921" spans="1:33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52"/>
      <c r="AF921" s="13"/>
      <c r="AG921" s="13"/>
    </row>
    <row r="922" spans="1:33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52"/>
      <c r="AF922" s="13"/>
      <c r="AG922" s="13"/>
    </row>
    <row r="923" spans="1:33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52"/>
      <c r="AF923" s="13"/>
      <c r="AG923" s="13"/>
    </row>
    <row r="924" spans="1:33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52"/>
      <c r="AF924" s="13"/>
      <c r="AG924" s="13"/>
    </row>
    <row r="925" spans="1:33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52"/>
      <c r="AF925" s="13"/>
      <c r="AG925" s="13"/>
    </row>
    <row r="926" spans="1:33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52"/>
      <c r="AF926" s="13"/>
      <c r="AG926" s="13"/>
    </row>
    <row r="927" spans="1:33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52"/>
      <c r="AF927" s="13"/>
      <c r="AG927" s="13"/>
    </row>
    <row r="928" spans="1:33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52"/>
      <c r="AF928" s="13"/>
      <c r="AG928" s="13"/>
    </row>
    <row r="929" spans="1:33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52"/>
      <c r="AF929" s="13"/>
      <c r="AG929" s="13"/>
    </row>
    <row r="930" spans="1:33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52"/>
      <c r="AF930" s="13"/>
      <c r="AG930" s="13"/>
    </row>
    <row r="931" spans="1:33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52"/>
      <c r="AF931" s="13"/>
      <c r="AG931" s="13"/>
    </row>
    <row r="932" spans="1:33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52"/>
      <c r="AF932" s="13"/>
      <c r="AG932" s="13"/>
    </row>
    <row r="933" spans="1:33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52"/>
      <c r="AF933" s="13"/>
      <c r="AG933" s="13"/>
    </row>
    <row r="934" spans="1:33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52"/>
      <c r="AF934" s="13"/>
      <c r="AG934" s="13"/>
    </row>
    <row r="935" spans="1:33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52"/>
      <c r="AF935" s="13"/>
      <c r="AG935" s="13"/>
    </row>
    <row r="936" spans="1:33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52"/>
      <c r="AF936" s="13"/>
      <c r="AG936" s="13"/>
    </row>
    <row r="937" spans="1:33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52"/>
      <c r="AF937" s="13"/>
      <c r="AG937" s="13"/>
    </row>
    <row r="938" spans="1:33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52"/>
      <c r="AF938" s="13"/>
      <c r="AG938" s="13"/>
    </row>
    <row r="939" spans="1:33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52"/>
      <c r="AF939" s="13"/>
      <c r="AG939" s="13"/>
    </row>
    <row r="940" spans="1:33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52"/>
      <c r="AF940" s="13"/>
      <c r="AG940" s="13"/>
    </row>
    <row r="941" spans="1:33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52"/>
      <c r="AF941" s="13"/>
      <c r="AG941" s="13"/>
    </row>
    <row r="942" spans="1:33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52"/>
      <c r="AF942" s="13"/>
      <c r="AG942" s="13"/>
    </row>
    <row r="943" spans="1:33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52"/>
      <c r="AF943" s="13"/>
      <c r="AG943" s="13"/>
    </row>
    <row r="944" spans="1:33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52"/>
      <c r="AF944" s="13"/>
      <c r="AG944" s="13"/>
    </row>
    <row r="945" spans="1:33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52"/>
      <c r="AF945" s="13"/>
      <c r="AG945" s="13"/>
    </row>
    <row r="946" spans="1:33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52"/>
      <c r="AF946" s="13"/>
      <c r="AG946" s="13"/>
    </row>
    <row r="947" spans="1:33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52"/>
      <c r="AF947" s="13"/>
      <c r="AG947" s="13"/>
    </row>
    <row r="948" spans="1:33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52"/>
      <c r="AF948" s="13"/>
      <c r="AG948" s="13"/>
    </row>
    <row r="949" spans="1:33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52"/>
      <c r="AF949" s="13"/>
      <c r="AG949" s="13"/>
    </row>
    <row r="950" spans="1:33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52"/>
      <c r="AF950" s="13"/>
      <c r="AG950" s="13"/>
    </row>
    <row r="951" spans="1:33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52"/>
      <c r="AF951" s="13"/>
      <c r="AG951" s="13"/>
    </row>
    <row r="952" spans="1:33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52"/>
      <c r="AF952" s="13"/>
      <c r="AG952" s="13"/>
    </row>
    <row r="953" spans="1:33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52"/>
      <c r="AF953" s="13"/>
      <c r="AG953" s="13"/>
    </row>
    <row r="954" spans="1:33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52"/>
      <c r="AF954" s="13"/>
      <c r="AG954" s="13"/>
    </row>
    <row r="955" spans="1:33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52"/>
      <c r="AF955" s="13"/>
      <c r="AG955" s="13"/>
    </row>
    <row r="956" spans="1:33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52"/>
      <c r="AF956" s="13"/>
      <c r="AG956" s="13"/>
    </row>
    <row r="957" spans="1:33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52"/>
      <c r="AF957" s="13"/>
      <c r="AG957" s="13"/>
    </row>
    <row r="958" spans="1:33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52"/>
      <c r="AF958" s="13"/>
      <c r="AG958" s="13"/>
    </row>
    <row r="959" spans="1:33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52"/>
      <c r="AF959" s="13"/>
      <c r="AG959" s="13"/>
    </row>
    <row r="960" spans="1:33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52"/>
      <c r="AF960" s="13"/>
      <c r="AG960" s="13"/>
    </row>
    <row r="961" spans="1:33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52"/>
      <c r="AF961" s="13"/>
      <c r="AG961" s="13"/>
    </row>
    <row r="962" spans="1:33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52"/>
      <c r="AF962" s="13"/>
      <c r="AG962" s="13"/>
    </row>
    <row r="963" spans="1:33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52"/>
      <c r="AF963" s="13"/>
      <c r="AG963" s="13"/>
    </row>
    <row r="964" spans="1:33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52"/>
      <c r="AF964" s="13"/>
      <c r="AG964" s="13"/>
    </row>
    <row r="965" spans="1:33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52"/>
      <c r="AF965" s="13"/>
      <c r="AG965" s="13"/>
    </row>
    <row r="966" spans="1:33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52"/>
      <c r="AF966" s="13"/>
      <c r="AG966" s="13"/>
    </row>
    <row r="967" spans="1:33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52"/>
      <c r="AF967" s="13"/>
      <c r="AG967" s="13"/>
    </row>
    <row r="968" spans="1:33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52"/>
      <c r="AF968" s="13"/>
      <c r="AG968" s="13"/>
    </row>
    <row r="969" spans="1:33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52"/>
      <c r="AF969" s="13"/>
      <c r="AG969" s="13"/>
    </row>
    <row r="970" spans="1:33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52"/>
      <c r="AF970" s="13"/>
      <c r="AG970" s="13"/>
    </row>
    <row r="971" spans="1:33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52"/>
      <c r="AF971" s="13"/>
      <c r="AG971" s="13"/>
    </row>
    <row r="972" spans="1:33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52"/>
      <c r="AF972" s="13"/>
      <c r="AG972" s="13"/>
    </row>
    <row r="973" spans="1:33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52"/>
      <c r="AF973" s="13"/>
      <c r="AG973" s="13"/>
    </row>
    <row r="974" spans="1:33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52"/>
      <c r="AF974" s="13"/>
      <c r="AG974" s="13"/>
    </row>
    <row r="975" spans="1:33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52"/>
      <c r="AF975" s="13"/>
      <c r="AG975" s="13"/>
    </row>
    <row r="976" spans="1:33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52"/>
      <c r="AF976" s="13"/>
      <c r="AG976" s="13"/>
    </row>
    <row r="977" spans="1:33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52"/>
      <c r="AF977" s="13"/>
      <c r="AG977" s="13"/>
    </row>
    <row r="978" spans="1:33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52"/>
      <c r="AF978" s="13"/>
      <c r="AG978" s="13"/>
    </row>
    <row r="979" spans="1:33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52"/>
      <c r="AF979" s="13"/>
      <c r="AG979" s="13"/>
    </row>
    <row r="980" spans="1:33" x14ac:dyDescent="0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52"/>
      <c r="AF980" s="13"/>
      <c r="AG980" s="13"/>
    </row>
    <row r="981" spans="1:33" x14ac:dyDescent="0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52"/>
      <c r="AF981" s="13"/>
      <c r="AG981" s="13"/>
    </row>
    <row r="982" spans="1:33" x14ac:dyDescent="0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52"/>
      <c r="AF982" s="13"/>
      <c r="AG982" s="13"/>
    </row>
    <row r="983" spans="1:33" x14ac:dyDescent="0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52"/>
      <c r="AF983" s="13"/>
      <c r="AG983" s="13"/>
    </row>
    <row r="984" spans="1:33" x14ac:dyDescent="0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52"/>
      <c r="AF984" s="13"/>
      <c r="AG984" s="13"/>
    </row>
    <row r="985" spans="1:33" x14ac:dyDescent="0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52"/>
      <c r="AF985" s="13"/>
      <c r="AG985" s="13"/>
    </row>
    <row r="986" spans="1:33" x14ac:dyDescent="0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52"/>
      <c r="AF986" s="13"/>
      <c r="AG986" s="13"/>
    </row>
    <row r="987" spans="1:33" x14ac:dyDescent="0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52"/>
      <c r="AF987" s="13"/>
      <c r="AG987" s="13"/>
    </row>
    <row r="988" spans="1:33" x14ac:dyDescent="0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52"/>
      <c r="AF988" s="13"/>
      <c r="AG988" s="13"/>
    </row>
    <row r="989" spans="1:33" x14ac:dyDescent="0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52"/>
      <c r="AF989" s="13"/>
      <c r="AG989" s="13"/>
    </row>
    <row r="990" spans="1:33" x14ac:dyDescent="0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52"/>
      <c r="AF990" s="13"/>
      <c r="AG990" s="13"/>
    </row>
    <row r="991" spans="1:33" x14ac:dyDescent="0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52"/>
      <c r="AF991" s="13"/>
      <c r="AG991" s="13"/>
    </row>
    <row r="992" spans="1:33" x14ac:dyDescent="0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52"/>
      <c r="AF992" s="13"/>
      <c r="AG992" s="13"/>
    </row>
    <row r="993" spans="1:33" x14ac:dyDescent="0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52"/>
      <c r="AF993" s="13"/>
      <c r="AG993" s="13"/>
    </row>
    <row r="994" spans="1:33" x14ac:dyDescent="0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52"/>
      <c r="AF994" s="13"/>
      <c r="AG994" s="13"/>
    </row>
    <row r="995" spans="1:33" x14ac:dyDescent="0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52"/>
      <c r="AF995" s="13"/>
      <c r="AG995" s="1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L1000"/>
  <sheetViews>
    <sheetView workbookViewId="0"/>
  </sheetViews>
  <sheetFormatPr baseColWidth="10" defaultColWidth="12.6640625" defaultRowHeight="15" customHeight="1" x14ac:dyDescent="0.2"/>
  <cols>
    <col min="2" max="2" width="24.83203125" customWidth="1"/>
  </cols>
  <sheetData>
    <row r="1" spans="1:38" x14ac:dyDescent="0.2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</row>
    <row r="2" spans="1:38" x14ac:dyDescent="0.2">
      <c r="A2" s="44"/>
      <c r="B2" s="64" t="s">
        <v>50</v>
      </c>
      <c r="C2" s="65" t="s">
        <v>51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</row>
    <row r="3" spans="1:38" x14ac:dyDescent="0.2">
      <c r="A3" s="44"/>
      <c r="B3" s="44"/>
      <c r="C3" s="7">
        <v>44713</v>
      </c>
      <c r="D3" s="7">
        <v>44743</v>
      </c>
      <c r="E3" s="7">
        <v>44774</v>
      </c>
      <c r="F3" s="7">
        <v>44805</v>
      </c>
      <c r="G3" s="7">
        <v>44835</v>
      </c>
      <c r="H3" s="7">
        <v>44866</v>
      </c>
      <c r="I3" s="7">
        <v>44896</v>
      </c>
      <c r="J3" s="7">
        <v>44927</v>
      </c>
      <c r="K3" s="7">
        <v>44958</v>
      </c>
      <c r="L3" s="7">
        <v>44986</v>
      </c>
      <c r="M3" s="7">
        <v>45017</v>
      </c>
      <c r="N3" s="7">
        <v>45047</v>
      </c>
      <c r="O3" s="7">
        <v>45078</v>
      </c>
      <c r="P3" s="7">
        <v>45108</v>
      </c>
      <c r="Q3" s="7">
        <v>45139</v>
      </c>
      <c r="R3" s="7">
        <v>45170</v>
      </c>
      <c r="S3" s="7">
        <v>45200</v>
      </c>
      <c r="T3" s="7">
        <v>45231</v>
      </c>
      <c r="U3" s="7">
        <v>45261</v>
      </c>
      <c r="V3" s="7">
        <v>45292</v>
      </c>
      <c r="W3" s="7">
        <v>45323</v>
      </c>
      <c r="X3" s="7">
        <v>45352</v>
      </c>
      <c r="Y3" s="7">
        <v>45383</v>
      </c>
      <c r="Z3" s="7">
        <v>45413</v>
      </c>
      <c r="AA3" s="7">
        <v>45444</v>
      </c>
      <c r="AB3" s="7">
        <v>45474</v>
      </c>
      <c r="AC3" s="7">
        <v>45505</v>
      </c>
      <c r="AD3" s="7">
        <v>45536</v>
      </c>
      <c r="AE3" s="7">
        <v>45566</v>
      </c>
      <c r="AF3" s="7">
        <v>45597</v>
      </c>
      <c r="AG3" s="7">
        <v>45627</v>
      </c>
      <c r="AH3" s="7">
        <v>45658</v>
      </c>
      <c r="AI3" s="7">
        <v>45689</v>
      </c>
      <c r="AJ3" s="7">
        <v>45717</v>
      </c>
      <c r="AK3" s="7">
        <v>45748</v>
      </c>
      <c r="AL3" s="7">
        <v>45778</v>
      </c>
    </row>
    <row r="4" spans="1:38" x14ac:dyDescent="0.2">
      <c r="A4" s="65" t="s">
        <v>52</v>
      </c>
      <c r="B4" s="65" t="s">
        <v>53</v>
      </c>
      <c r="C4" s="66"/>
      <c r="D4" s="66"/>
      <c r="E4" s="66"/>
      <c r="F4" s="66"/>
      <c r="G4" s="67" t="s">
        <v>54</v>
      </c>
      <c r="H4" s="65" t="s">
        <v>54</v>
      </c>
      <c r="I4" s="65" t="s">
        <v>54</v>
      </c>
      <c r="J4" s="65" t="s">
        <v>54</v>
      </c>
      <c r="K4" s="65" t="s">
        <v>54</v>
      </c>
      <c r="L4" s="65" t="s">
        <v>54</v>
      </c>
      <c r="M4" s="65" t="s">
        <v>54</v>
      </c>
      <c r="N4" s="65" t="s">
        <v>54</v>
      </c>
      <c r="O4" s="65" t="s">
        <v>54</v>
      </c>
      <c r="P4" s="65" t="s">
        <v>54</v>
      </c>
      <c r="Q4" s="65" t="s">
        <v>54</v>
      </c>
      <c r="R4" s="65" t="s">
        <v>54</v>
      </c>
      <c r="S4" s="65" t="s">
        <v>54</v>
      </c>
      <c r="T4" s="65" t="s">
        <v>54</v>
      </c>
      <c r="U4" s="65" t="s">
        <v>54</v>
      </c>
      <c r="V4" s="65" t="s">
        <v>54</v>
      </c>
      <c r="W4" s="65" t="s">
        <v>54</v>
      </c>
      <c r="X4" s="65" t="s">
        <v>54</v>
      </c>
      <c r="Y4" s="65" t="s">
        <v>54</v>
      </c>
      <c r="Z4" s="65" t="s">
        <v>54</v>
      </c>
      <c r="AA4" s="65" t="s">
        <v>54</v>
      </c>
      <c r="AB4" s="65" t="s">
        <v>54</v>
      </c>
      <c r="AC4" s="65" t="s">
        <v>54</v>
      </c>
      <c r="AD4" s="65" t="s">
        <v>54</v>
      </c>
      <c r="AE4" s="65" t="s">
        <v>54</v>
      </c>
      <c r="AF4" s="65" t="s">
        <v>54</v>
      </c>
      <c r="AG4" s="65" t="s">
        <v>54</v>
      </c>
      <c r="AH4" s="65" t="s">
        <v>54</v>
      </c>
      <c r="AI4" s="65" t="s">
        <v>54</v>
      </c>
      <c r="AJ4" s="65" t="s">
        <v>54</v>
      </c>
      <c r="AK4" s="65" t="s">
        <v>54</v>
      </c>
      <c r="AL4" s="68" t="s">
        <v>55</v>
      </c>
    </row>
    <row r="5" spans="1:38" x14ac:dyDescent="0.2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</row>
    <row r="6" spans="1:38" x14ac:dyDescent="0.2">
      <c r="A6" s="65"/>
      <c r="B6" s="65" t="s">
        <v>56</v>
      </c>
      <c r="C6" s="65" t="s">
        <v>54</v>
      </c>
      <c r="D6" s="65" t="s">
        <v>54</v>
      </c>
      <c r="E6" s="65" t="s">
        <v>54</v>
      </c>
      <c r="F6" s="65" t="s">
        <v>54</v>
      </c>
      <c r="G6" s="65" t="s">
        <v>54</v>
      </c>
      <c r="H6" s="65" t="s">
        <v>54</v>
      </c>
      <c r="I6" s="65" t="s">
        <v>54</v>
      </c>
      <c r="J6" s="65" t="s">
        <v>54</v>
      </c>
      <c r="K6" s="65" t="s">
        <v>54</v>
      </c>
      <c r="L6" s="65" t="s">
        <v>54</v>
      </c>
      <c r="M6" s="65" t="s">
        <v>54</v>
      </c>
      <c r="N6" s="65" t="s">
        <v>54</v>
      </c>
      <c r="O6" s="65" t="s">
        <v>54</v>
      </c>
      <c r="P6" s="65" t="s">
        <v>54</v>
      </c>
      <c r="Q6" s="65" t="s">
        <v>54</v>
      </c>
      <c r="R6" s="65" t="s">
        <v>54</v>
      </c>
      <c r="S6" s="65" t="s">
        <v>54</v>
      </c>
      <c r="T6" s="65" t="s">
        <v>54</v>
      </c>
      <c r="U6" s="65" t="s">
        <v>54</v>
      </c>
      <c r="V6" s="65" t="s">
        <v>54</v>
      </c>
      <c r="W6" s="65" t="s">
        <v>54</v>
      </c>
      <c r="X6" s="65" t="s">
        <v>54</v>
      </c>
      <c r="Y6" s="65" t="s">
        <v>54</v>
      </c>
      <c r="Z6" s="65" t="s">
        <v>54</v>
      </c>
      <c r="AA6" s="65" t="s">
        <v>54</v>
      </c>
      <c r="AB6" s="65" t="s">
        <v>54</v>
      </c>
      <c r="AC6" s="65" t="s">
        <v>54</v>
      </c>
      <c r="AD6" s="65" t="s">
        <v>54</v>
      </c>
      <c r="AE6" s="65" t="s">
        <v>54</v>
      </c>
      <c r="AF6" s="65" t="s">
        <v>54</v>
      </c>
      <c r="AG6" s="65" t="s">
        <v>54</v>
      </c>
      <c r="AH6" s="65" t="s">
        <v>54</v>
      </c>
      <c r="AI6" s="65" t="s">
        <v>54</v>
      </c>
      <c r="AJ6" s="65" t="s">
        <v>54</v>
      </c>
      <c r="AK6" s="65" t="s">
        <v>54</v>
      </c>
      <c r="AL6" s="68" t="s">
        <v>55</v>
      </c>
    </row>
    <row r="7" spans="1:38" x14ac:dyDescent="0.2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</row>
    <row r="8" spans="1:38" x14ac:dyDescent="0.2">
      <c r="A8" s="65" t="s">
        <v>57</v>
      </c>
      <c r="B8" s="65" t="s">
        <v>58</v>
      </c>
      <c r="C8" s="66"/>
      <c r="D8" s="66"/>
      <c r="E8" s="66"/>
      <c r="F8" s="66"/>
      <c r="G8" s="65" t="s">
        <v>54</v>
      </c>
      <c r="H8" s="65" t="s">
        <v>54</v>
      </c>
      <c r="I8" s="65" t="s">
        <v>54</v>
      </c>
      <c r="J8" s="65" t="s">
        <v>54</v>
      </c>
      <c r="K8" s="65" t="s">
        <v>54</v>
      </c>
      <c r="L8" s="65" t="s">
        <v>54</v>
      </c>
      <c r="M8" s="65" t="s">
        <v>54</v>
      </c>
      <c r="N8" s="65" t="s">
        <v>54</v>
      </c>
      <c r="O8" s="65" t="s">
        <v>54</v>
      </c>
      <c r="P8" s="65" t="s">
        <v>54</v>
      </c>
      <c r="Q8" s="65" t="s">
        <v>54</v>
      </c>
      <c r="R8" s="65" t="s">
        <v>54</v>
      </c>
      <c r="S8" s="65" t="s">
        <v>54</v>
      </c>
      <c r="T8" s="65" t="s">
        <v>54</v>
      </c>
      <c r="U8" s="65" t="s">
        <v>54</v>
      </c>
      <c r="V8" s="65" t="s">
        <v>54</v>
      </c>
      <c r="W8" s="65" t="s">
        <v>54</v>
      </c>
      <c r="X8" s="65" t="s">
        <v>54</v>
      </c>
      <c r="Y8" s="65" t="s">
        <v>54</v>
      </c>
      <c r="Z8" s="65" t="s">
        <v>54</v>
      </c>
      <c r="AA8" s="65" t="s">
        <v>54</v>
      </c>
      <c r="AB8" s="65" t="s">
        <v>54</v>
      </c>
      <c r="AC8" s="65" t="s">
        <v>54</v>
      </c>
      <c r="AD8" s="65" t="s">
        <v>54</v>
      </c>
      <c r="AE8" s="65" t="s">
        <v>54</v>
      </c>
      <c r="AF8" s="65" t="s">
        <v>54</v>
      </c>
      <c r="AG8" s="65" t="s">
        <v>54</v>
      </c>
      <c r="AH8" s="65" t="s">
        <v>54</v>
      </c>
      <c r="AI8" s="65" t="s">
        <v>54</v>
      </c>
      <c r="AJ8" s="65" t="s">
        <v>54</v>
      </c>
      <c r="AK8" s="65" t="s">
        <v>54</v>
      </c>
      <c r="AL8" s="68" t="s">
        <v>55</v>
      </c>
    </row>
    <row r="9" spans="1:38" x14ac:dyDescent="0.2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</row>
    <row r="10" spans="1:38" x14ac:dyDescent="0.2">
      <c r="A10" s="44"/>
      <c r="B10" s="64" t="s">
        <v>59</v>
      </c>
      <c r="C10" s="65" t="s">
        <v>51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</row>
    <row r="11" spans="1:38" x14ac:dyDescent="0.2">
      <c r="A11" s="44"/>
      <c r="C11" s="7">
        <v>44713</v>
      </c>
      <c r="D11" s="7">
        <v>44743</v>
      </c>
      <c r="E11" s="7">
        <v>44774</v>
      </c>
      <c r="F11" s="7">
        <v>44805</v>
      </c>
      <c r="G11" s="7">
        <v>44835</v>
      </c>
      <c r="H11" s="7">
        <v>44866</v>
      </c>
      <c r="I11" s="7">
        <v>44896</v>
      </c>
      <c r="J11" s="7">
        <v>44927</v>
      </c>
      <c r="K11" s="7">
        <v>44958</v>
      </c>
      <c r="L11" s="7">
        <v>44986</v>
      </c>
      <c r="M11" s="7">
        <v>45017</v>
      </c>
      <c r="N11" s="7">
        <v>45047</v>
      </c>
      <c r="O11" s="7">
        <v>45078</v>
      </c>
      <c r="P11" s="7">
        <v>45108</v>
      </c>
      <c r="Q11" s="7">
        <v>45139</v>
      </c>
      <c r="R11" s="7">
        <v>45170</v>
      </c>
      <c r="S11" s="7">
        <v>45200</v>
      </c>
      <c r="T11" s="7">
        <v>45231</v>
      </c>
      <c r="U11" s="7">
        <v>45261</v>
      </c>
      <c r="V11" s="7">
        <v>45292</v>
      </c>
      <c r="W11" s="7">
        <v>45323</v>
      </c>
      <c r="X11" s="7">
        <v>45352</v>
      </c>
      <c r="Y11" s="7">
        <v>45383</v>
      </c>
      <c r="Z11" s="7">
        <v>45413</v>
      </c>
      <c r="AA11" s="7">
        <v>45444</v>
      </c>
      <c r="AB11" s="7">
        <v>45474</v>
      </c>
      <c r="AC11" s="7">
        <v>45505</v>
      </c>
      <c r="AD11" s="7">
        <v>45536</v>
      </c>
      <c r="AE11" s="7">
        <v>45566</v>
      </c>
      <c r="AF11" s="7">
        <v>45597</v>
      </c>
      <c r="AG11" s="7">
        <v>45627</v>
      </c>
      <c r="AH11" s="7">
        <v>45658</v>
      </c>
      <c r="AI11" s="7">
        <v>45689</v>
      </c>
      <c r="AJ11" s="7">
        <v>45717</v>
      </c>
      <c r="AK11" s="7">
        <v>45748</v>
      </c>
      <c r="AL11" s="7">
        <v>45778</v>
      </c>
    </row>
    <row r="12" spans="1:38" x14ac:dyDescent="0.2">
      <c r="A12" s="65" t="s">
        <v>60</v>
      </c>
      <c r="B12" s="69" t="s">
        <v>42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5" t="s">
        <v>54</v>
      </c>
      <c r="S12" s="65" t="s">
        <v>54</v>
      </c>
      <c r="T12" s="65" t="s">
        <v>54</v>
      </c>
      <c r="U12" s="65" t="s">
        <v>54</v>
      </c>
      <c r="V12" s="65" t="s">
        <v>54</v>
      </c>
      <c r="W12" s="65" t="s">
        <v>54</v>
      </c>
      <c r="X12" s="65" t="s">
        <v>54</v>
      </c>
      <c r="Y12" s="65" t="s">
        <v>54</v>
      </c>
      <c r="Z12" s="65" t="s">
        <v>54</v>
      </c>
      <c r="AA12" s="65" t="s">
        <v>54</v>
      </c>
      <c r="AB12" s="65" t="s">
        <v>54</v>
      </c>
      <c r="AC12" s="65" t="s">
        <v>54</v>
      </c>
      <c r="AD12" s="65" t="s">
        <v>54</v>
      </c>
      <c r="AE12" s="65" t="s">
        <v>54</v>
      </c>
      <c r="AF12" s="65" t="s">
        <v>54</v>
      </c>
      <c r="AG12" s="65" t="s">
        <v>54</v>
      </c>
      <c r="AH12" s="65" t="s">
        <v>54</v>
      </c>
      <c r="AI12" s="65" t="s">
        <v>54</v>
      </c>
      <c r="AJ12" s="65" t="s">
        <v>54</v>
      </c>
      <c r="AK12" s="65" t="s">
        <v>54</v>
      </c>
      <c r="AL12" s="68" t="s">
        <v>55</v>
      </c>
    </row>
    <row r="13" spans="1:38" x14ac:dyDescent="0.2">
      <c r="A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</row>
    <row r="14" spans="1:38" x14ac:dyDescent="0.2">
      <c r="A14" s="65" t="s">
        <v>61</v>
      </c>
      <c r="B14" s="65" t="s">
        <v>28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5" t="s">
        <v>54</v>
      </c>
      <c r="V14" s="65" t="s">
        <v>54</v>
      </c>
      <c r="W14" s="65" t="s">
        <v>54</v>
      </c>
      <c r="X14" s="65" t="s">
        <v>54</v>
      </c>
      <c r="Y14" s="65" t="s">
        <v>54</v>
      </c>
      <c r="Z14" s="65" t="s">
        <v>54</v>
      </c>
      <c r="AA14" s="65" t="s">
        <v>54</v>
      </c>
      <c r="AB14" s="65" t="s">
        <v>54</v>
      </c>
      <c r="AC14" s="65" t="s">
        <v>54</v>
      </c>
      <c r="AD14" s="65" t="s">
        <v>54</v>
      </c>
      <c r="AE14" s="65" t="s">
        <v>54</v>
      </c>
      <c r="AF14" s="65" t="s">
        <v>54</v>
      </c>
      <c r="AG14" s="65" t="s">
        <v>54</v>
      </c>
      <c r="AH14" s="65" t="s">
        <v>54</v>
      </c>
      <c r="AI14" s="65" t="s">
        <v>54</v>
      </c>
      <c r="AJ14" s="65" t="s">
        <v>54</v>
      </c>
      <c r="AK14" s="65" t="s">
        <v>54</v>
      </c>
      <c r="AL14" s="68" t="s">
        <v>55</v>
      </c>
    </row>
    <row r="15" spans="1:38" x14ac:dyDescent="0.2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</row>
    <row r="16" spans="1:38" x14ac:dyDescent="0.2">
      <c r="A16" s="65" t="s">
        <v>61</v>
      </c>
      <c r="B16" s="65" t="s">
        <v>31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5" t="s">
        <v>54</v>
      </c>
      <c r="U16" s="65" t="s">
        <v>54</v>
      </c>
      <c r="V16" s="65" t="s">
        <v>54</v>
      </c>
      <c r="W16" s="65" t="s">
        <v>54</v>
      </c>
      <c r="X16" s="65" t="s">
        <v>54</v>
      </c>
      <c r="Y16" s="65" t="s">
        <v>54</v>
      </c>
      <c r="Z16" s="65" t="s">
        <v>54</v>
      </c>
      <c r="AA16" s="65" t="s">
        <v>54</v>
      </c>
      <c r="AB16" s="65" t="s">
        <v>54</v>
      </c>
      <c r="AC16" s="65" t="s">
        <v>54</v>
      </c>
      <c r="AD16" s="65" t="s">
        <v>54</v>
      </c>
      <c r="AE16" s="65" t="s">
        <v>54</v>
      </c>
      <c r="AF16" s="65" t="s">
        <v>54</v>
      </c>
      <c r="AG16" s="65" t="s">
        <v>54</v>
      </c>
      <c r="AH16" s="65" t="s">
        <v>54</v>
      </c>
      <c r="AI16" s="65" t="s">
        <v>54</v>
      </c>
      <c r="AJ16" s="68" t="s">
        <v>55</v>
      </c>
      <c r="AK16" s="68" t="s">
        <v>55</v>
      </c>
      <c r="AL16" s="68" t="s">
        <v>55</v>
      </c>
    </row>
    <row r="17" spans="1:38" x14ac:dyDescent="0.2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</row>
    <row r="18" spans="1:38" x14ac:dyDescent="0.2">
      <c r="A18" s="65" t="s">
        <v>57</v>
      </c>
      <c r="B18" s="65" t="s">
        <v>62</v>
      </c>
      <c r="C18" s="66"/>
      <c r="D18" s="66"/>
      <c r="E18" s="66"/>
      <c r="F18" s="66"/>
      <c r="G18" s="66"/>
      <c r="H18" s="66"/>
      <c r="I18" s="66"/>
      <c r="J18" s="66"/>
      <c r="K18" s="65" t="s">
        <v>54</v>
      </c>
      <c r="L18" s="65" t="s">
        <v>54</v>
      </c>
      <c r="M18" s="65" t="s">
        <v>54</v>
      </c>
      <c r="N18" s="65" t="s">
        <v>54</v>
      </c>
      <c r="O18" s="65" t="s">
        <v>54</v>
      </c>
      <c r="P18" s="65" t="s">
        <v>54</v>
      </c>
      <c r="Q18" s="65" t="s">
        <v>54</v>
      </c>
      <c r="R18" s="65" t="s">
        <v>54</v>
      </c>
      <c r="S18" s="65" t="s">
        <v>54</v>
      </c>
      <c r="T18" s="65" t="s">
        <v>54</v>
      </c>
      <c r="U18" s="65" t="s">
        <v>54</v>
      </c>
      <c r="V18" s="65" t="s">
        <v>54</v>
      </c>
      <c r="W18" s="65" t="s">
        <v>54</v>
      </c>
      <c r="X18" s="65" t="s">
        <v>54</v>
      </c>
      <c r="Y18" s="65" t="s">
        <v>54</v>
      </c>
      <c r="Z18" s="65" t="s">
        <v>54</v>
      </c>
      <c r="AA18" s="65" t="s">
        <v>54</v>
      </c>
      <c r="AB18" s="65" t="s">
        <v>54</v>
      </c>
      <c r="AC18" s="65" t="s">
        <v>54</v>
      </c>
      <c r="AD18" s="65" t="s">
        <v>54</v>
      </c>
      <c r="AE18" s="65" t="s">
        <v>54</v>
      </c>
      <c r="AF18" s="65" t="s">
        <v>54</v>
      </c>
      <c r="AG18" s="65" t="s">
        <v>54</v>
      </c>
      <c r="AH18" s="65" t="s">
        <v>54</v>
      </c>
      <c r="AI18" s="65" t="s">
        <v>54</v>
      </c>
      <c r="AJ18" s="65" t="s">
        <v>54</v>
      </c>
      <c r="AK18" s="65" t="s">
        <v>54</v>
      </c>
      <c r="AL18" s="68" t="s">
        <v>55</v>
      </c>
    </row>
    <row r="19" spans="1:38" x14ac:dyDescent="0.2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</row>
    <row r="20" spans="1:38" x14ac:dyDescent="0.2">
      <c r="A20" s="65" t="s">
        <v>57</v>
      </c>
      <c r="B20" s="65" t="s">
        <v>49</v>
      </c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5" t="s">
        <v>54</v>
      </c>
      <c r="T20" s="65" t="s">
        <v>54</v>
      </c>
      <c r="U20" s="65" t="s">
        <v>54</v>
      </c>
      <c r="V20" s="65" t="s">
        <v>54</v>
      </c>
      <c r="W20" s="65" t="s">
        <v>54</v>
      </c>
      <c r="X20" s="65" t="s">
        <v>54</v>
      </c>
      <c r="Y20" s="65" t="s">
        <v>54</v>
      </c>
      <c r="Z20" s="65" t="s">
        <v>54</v>
      </c>
      <c r="AA20" s="65" t="s">
        <v>54</v>
      </c>
      <c r="AB20" s="65" t="s">
        <v>54</v>
      </c>
      <c r="AC20" s="65" t="s">
        <v>54</v>
      </c>
      <c r="AD20" s="65" t="s">
        <v>54</v>
      </c>
      <c r="AE20" s="65" t="s">
        <v>54</v>
      </c>
      <c r="AF20" s="65" t="s">
        <v>54</v>
      </c>
      <c r="AG20" s="65" t="s">
        <v>54</v>
      </c>
      <c r="AH20" s="65" t="s">
        <v>54</v>
      </c>
      <c r="AI20" s="65" t="s">
        <v>54</v>
      </c>
      <c r="AJ20" s="65" t="s">
        <v>54</v>
      </c>
      <c r="AK20" s="65" t="s">
        <v>54</v>
      </c>
      <c r="AL20" s="68" t="s">
        <v>55</v>
      </c>
    </row>
    <row r="21" spans="1:38" x14ac:dyDescent="0.2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</row>
    <row r="22" spans="1:38" x14ac:dyDescent="0.2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</row>
    <row r="23" spans="1:38" x14ac:dyDescent="0.2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</row>
    <row r="24" spans="1:38" x14ac:dyDescent="0.2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</row>
    <row r="25" spans="1:38" x14ac:dyDescent="0.2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</row>
    <row r="26" spans="1:38" x14ac:dyDescent="0.2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</row>
    <row r="27" spans="1:38" x14ac:dyDescent="0.2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</row>
    <row r="28" spans="1:38" x14ac:dyDescent="0.2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</row>
    <row r="29" spans="1:38" x14ac:dyDescent="0.2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</row>
    <row r="30" spans="1:38" x14ac:dyDescent="0.2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</row>
    <row r="31" spans="1:38" x14ac:dyDescent="0.2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</row>
    <row r="32" spans="1:38" x14ac:dyDescent="0.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</row>
    <row r="33" spans="1:38" x14ac:dyDescent="0.2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</row>
    <row r="34" spans="1:38" x14ac:dyDescent="0.2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</row>
    <row r="35" spans="1:38" x14ac:dyDescent="0.2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</row>
    <row r="36" spans="1:38" x14ac:dyDescent="0.2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</row>
    <row r="37" spans="1:38" x14ac:dyDescent="0.2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</row>
    <row r="38" spans="1:38" x14ac:dyDescent="0.2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</row>
    <row r="39" spans="1:38" x14ac:dyDescent="0.2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</row>
    <row r="40" spans="1:38" x14ac:dyDescent="0.2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</row>
    <row r="41" spans="1:38" x14ac:dyDescent="0.2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</row>
    <row r="42" spans="1:38" x14ac:dyDescent="0.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</row>
    <row r="43" spans="1:38" x14ac:dyDescent="0.2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</row>
    <row r="44" spans="1:38" x14ac:dyDescent="0.2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</row>
    <row r="45" spans="1:38" x14ac:dyDescent="0.2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</row>
    <row r="46" spans="1:38" x14ac:dyDescent="0.2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</row>
    <row r="47" spans="1:38" x14ac:dyDescent="0.2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</row>
    <row r="48" spans="1:38" x14ac:dyDescent="0.2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</row>
    <row r="49" spans="1:38" x14ac:dyDescent="0.2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</row>
    <row r="50" spans="1:38" x14ac:dyDescent="0.2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</row>
    <row r="51" spans="1:38" x14ac:dyDescent="0.2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</row>
    <row r="52" spans="1:38" x14ac:dyDescent="0.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</row>
    <row r="53" spans="1:38" x14ac:dyDescent="0.2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</row>
    <row r="54" spans="1:38" x14ac:dyDescent="0.2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</row>
    <row r="55" spans="1:38" x14ac:dyDescent="0.2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</row>
    <row r="56" spans="1:38" x14ac:dyDescent="0.2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</row>
    <row r="57" spans="1:38" x14ac:dyDescent="0.2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</row>
    <row r="58" spans="1:38" x14ac:dyDescent="0.2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</row>
    <row r="59" spans="1:38" x14ac:dyDescent="0.2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</row>
    <row r="60" spans="1:38" x14ac:dyDescent="0.2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</row>
    <row r="61" spans="1:38" x14ac:dyDescent="0.2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</row>
    <row r="62" spans="1:38" x14ac:dyDescent="0.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</row>
    <row r="63" spans="1:38" x14ac:dyDescent="0.2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</row>
    <row r="64" spans="1:38" x14ac:dyDescent="0.2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</row>
    <row r="65" spans="1:38" x14ac:dyDescent="0.2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</row>
    <row r="66" spans="1:38" x14ac:dyDescent="0.2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</row>
    <row r="67" spans="1:38" x14ac:dyDescent="0.2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</row>
    <row r="68" spans="1:38" x14ac:dyDescent="0.2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</row>
    <row r="69" spans="1:38" x14ac:dyDescent="0.2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</row>
    <row r="70" spans="1:38" x14ac:dyDescent="0.2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</row>
    <row r="71" spans="1:38" x14ac:dyDescent="0.2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</row>
    <row r="72" spans="1:38" x14ac:dyDescent="0.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</row>
    <row r="73" spans="1:38" x14ac:dyDescent="0.2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</row>
    <row r="74" spans="1:38" x14ac:dyDescent="0.2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</row>
    <row r="75" spans="1:38" x14ac:dyDescent="0.2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</row>
    <row r="76" spans="1:38" x14ac:dyDescent="0.2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</row>
    <row r="77" spans="1:38" x14ac:dyDescent="0.2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</row>
    <row r="78" spans="1:38" x14ac:dyDescent="0.2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</row>
    <row r="79" spans="1:38" x14ac:dyDescent="0.2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</row>
    <row r="80" spans="1:38" x14ac:dyDescent="0.2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</row>
    <row r="81" spans="1:38" x14ac:dyDescent="0.2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</row>
    <row r="82" spans="1:38" x14ac:dyDescent="0.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</row>
    <row r="83" spans="1:38" x14ac:dyDescent="0.2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</row>
    <row r="84" spans="1:38" x14ac:dyDescent="0.2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</row>
    <row r="85" spans="1:38" x14ac:dyDescent="0.2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</row>
    <row r="86" spans="1:38" x14ac:dyDescent="0.2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</row>
    <row r="87" spans="1:38" x14ac:dyDescent="0.2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</row>
    <row r="88" spans="1:38" x14ac:dyDescent="0.2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</row>
    <row r="89" spans="1:38" x14ac:dyDescent="0.2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</row>
    <row r="90" spans="1:38" x14ac:dyDescent="0.2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</row>
    <row r="91" spans="1:38" x14ac:dyDescent="0.2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</row>
    <row r="92" spans="1:38" x14ac:dyDescent="0.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</row>
    <row r="93" spans="1:38" x14ac:dyDescent="0.2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</row>
    <row r="94" spans="1:38" x14ac:dyDescent="0.2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</row>
    <row r="95" spans="1:38" x14ac:dyDescent="0.2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</row>
    <row r="96" spans="1:38" x14ac:dyDescent="0.2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</row>
    <row r="97" spans="1:38" x14ac:dyDescent="0.2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</row>
    <row r="98" spans="1:38" x14ac:dyDescent="0.2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</row>
    <row r="99" spans="1:38" x14ac:dyDescent="0.2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</row>
    <row r="100" spans="1:38" x14ac:dyDescent="0.2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</row>
    <row r="101" spans="1:38" x14ac:dyDescent="0.2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</row>
    <row r="102" spans="1:38" x14ac:dyDescent="0.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</row>
    <row r="103" spans="1:38" x14ac:dyDescent="0.2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</row>
    <row r="104" spans="1:38" x14ac:dyDescent="0.2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</row>
    <row r="105" spans="1:38" x14ac:dyDescent="0.2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</row>
    <row r="106" spans="1:38" x14ac:dyDescent="0.2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</row>
    <row r="107" spans="1:38" x14ac:dyDescent="0.2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</row>
    <row r="108" spans="1:38" x14ac:dyDescent="0.2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</row>
    <row r="109" spans="1:38" x14ac:dyDescent="0.2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</row>
    <row r="110" spans="1:38" x14ac:dyDescent="0.2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</row>
    <row r="111" spans="1:38" x14ac:dyDescent="0.2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</row>
    <row r="112" spans="1:38" x14ac:dyDescent="0.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</row>
    <row r="113" spans="1:38" x14ac:dyDescent="0.2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</row>
    <row r="114" spans="1:38" x14ac:dyDescent="0.2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</row>
    <row r="115" spans="1:38" x14ac:dyDescent="0.2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</row>
    <row r="116" spans="1:38" x14ac:dyDescent="0.2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</row>
    <row r="117" spans="1:38" x14ac:dyDescent="0.2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</row>
    <row r="118" spans="1:38" x14ac:dyDescent="0.2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</row>
    <row r="119" spans="1:38" x14ac:dyDescent="0.2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</row>
    <row r="120" spans="1:38" x14ac:dyDescent="0.2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</row>
    <row r="121" spans="1:38" x14ac:dyDescent="0.2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</row>
    <row r="122" spans="1:38" x14ac:dyDescent="0.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</row>
    <row r="123" spans="1:38" x14ac:dyDescent="0.2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</row>
    <row r="124" spans="1:38" x14ac:dyDescent="0.2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</row>
    <row r="125" spans="1:38" x14ac:dyDescent="0.2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</row>
    <row r="126" spans="1:38" x14ac:dyDescent="0.2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</row>
    <row r="127" spans="1:38" x14ac:dyDescent="0.2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</row>
    <row r="128" spans="1:38" x14ac:dyDescent="0.2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</row>
    <row r="129" spans="1:38" x14ac:dyDescent="0.2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</row>
    <row r="130" spans="1:38" x14ac:dyDescent="0.2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</row>
    <row r="131" spans="1:38" x14ac:dyDescent="0.2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</row>
    <row r="132" spans="1:38" x14ac:dyDescent="0.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</row>
    <row r="133" spans="1:38" x14ac:dyDescent="0.2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</row>
    <row r="134" spans="1:38" x14ac:dyDescent="0.2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</row>
    <row r="135" spans="1:38" x14ac:dyDescent="0.2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</row>
    <row r="136" spans="1:38" x14ac:dyDescent="0.2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</row>
    <row r="137" spans="1:38" x14ac:dyDescent="0.2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</row>
    <row r="138" spans="1:38" x14ac:dyDescent="0.2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</row>
    <row r="139" spans="1:38" x14ac:dyDescent="0.2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</row>
    <row r="140" spans="1:38" x14ac:dyDescent="0.2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</row>
    <row r="141" spans="1:38" x14ac:dyDescent="0.2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</row>
    <row r="142" spans="1:38" x14ac:dyDescent="0.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</row>
    <row r="143" spans="1:38" x14ac:dyDescent="0.2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</row>
    <row r="144" spans="1:38" x14ac:dyDescent="0.2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</row>
    <row r="145" spans="1:38" x14ac:dyDescent="0.2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</row>
    <row r="146" spans="1:38" x14ac:dyDescent="0.2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</row>
    <row r="147" spans="1:38" x14ac:dyDescent="0.2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</row>
    <row r="148" spans="1:38" x14ac:dyDescent="0.2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</row>
    <row r="149" spans="1:38" x14ac:dyDescent="0.2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</row>
    <row r="150" spans="1:38" x14ac:dyDescent="0.2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</row>
    <row r="151" spans="1:38" x14ac:dyDescent="0.2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</row>
    <row r="152" spans="1:38" x14ac:dyDescent="0.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</row>
    <row r="153" spans="1:38" x14ac:dyDescent="0.2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</row>
    <row r="154" spans="1:38" x14ac:dyDescent="0.2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</row>
    <row r="155" spans="1:38" x14ac:dyDescent="0.2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</row>
    <row r="156" spans="1:38" x14ac:dyDescent="0.2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</row>
    <row r="157" spans="1:38" x14ac:dyDescent="0.2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</row>
    <row r="158" spans="1:38" x14ac:dyDescent="0.2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</row>
    <row r="159" spans="1:38" x14ac:dyDescent="0.2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</row>
    <row r="160" spans="1:38" x14ac:dyDescent="0.2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</row>
    <row r="161" spans="1:38" x14ac:dyDescent="0.2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</row>
    <row r="162" spans="1:38" x14ac:dyDescent="0.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</row>
    <row r="163" spans="1:38" x14ac:dyDescent="0.2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</row>
    <row r="164" spans="1:38" x14ac:dyDescent="0.2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</row>
    <row r="165" spans="1:38" x14ac:dyDescent="0.2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</row>
    <row r="166" spans="1:38" x14ac:dyDescent="0.2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</row>
    <row r="167" spans="1:38" x14ac:dyDescent="0.2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</row>
    <row r="168" spans="1:38" x14ac:dyDescent="0.2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</row>
    <row r="169" spans="1:38" x14ac:dyDescent="0.2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</row>
    <row r="170" spans="1:38" x14ac:dyDescent="0.2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</row>
    <row r="171" spans="1:38" x14ac:dyDescent="0.2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</row>
    <row r="172" spans="1:38" x14ac:dyDescent="0.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</row>
    <row r="173" spans="1:38" x14ac:dyDescent="0.2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</row>
    <row r="174" spans="1:38" x14ac:dyDescent="0.2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</row>
    <row r="175" spans="1:38" x14ac:dyDescent="0.2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</row>
    <row r="176" spans="1:38" x14ac:dyDescent="0.2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</row>
    <row r="177" spans="1:38" x14ac:dyDescent="0.2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</row>
    <row r="178" spans="1:38" x14ac:dyDescent="0.2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</row>
    <row r="179" spans="1:38" x14ac:dyDescent="0.2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</row>
    <row r="180" spans="1:38" x14ac:dyDescent="0.2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</row>
    <row r="181" spans="1:38" x14ac:dyDescent="0.2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</row>
    <row r="182" spans="1:38" x14ac:dyDescent="0.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</row>
    <row r="183" spans="1:38" x14ac:dyDescent="0.2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</row>
    <row r="184" spans="1:38" x14ac:dyDescent="0.2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</row>
    <row r="185" spans="1:38" x14ac:dyDescent="0.2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</row>
    <row r="186" spans="1:38" x14ac:dyDescent="0.2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</row>
    <row r="187" spans="1:38" x14ac:dyDescent="0.2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</row>
    <row r="188" spans="1:38" x14ac:dyDescent="0.2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</row>
    <row r="189" spans="1:38" x14ac:dyDescent="0.2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</row>
    <row r="190" spans="1:38" x14ac:dyDescent="0.2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</row>
    <row r="191" spans="1:38" x14ac:dyDescent="0.2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</row>
    <row r="192" spans="1:38" x14ac:dyDescent="0.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</row>
    <row r="193" spans="1:38" x14ac:dyDescent="0.2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</row>
    <row r="194" spans="1:38" x14ac:dyDescent="0.2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</row>
    <row r="195" spans="1:38" x14ac:dyDescent="0.2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</row>
    <row r="196" spans="1:38" x14ac:dyDescent="0.2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</row>
    <row r="197" spans="1:38" x14ac:dyDescent="0.2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</row>
    <row r="198" spans="1:38" x14ac:dyDescent="0.2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</row>
    <row r="199" spans="1:38" x14ac:dyDescent="0.2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</row>
    <row r="200" spans="1:38" x14ac:dyDescent="0.2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</row>
    <row r="201" spans="1:38" x14ac:dyDescent="0.2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</row>
    <row r="202" spans="1:38" x14ac:dyDescent="0.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</row>
    <row r="203" spans="1:38" x14ac:dyDescent="0.2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</row>
    <row r="204" spans="1:38" x14ac:dyDescent="0.2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</row>
    <row r="205" spans="1:38" x14ac:dyDescent="0.2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</row>
    <row r="206" spans="1:38" x14ac:dyDescent="0.2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</row>
    <row r="207" spans="1:38" x14ac:dyDescent="0.2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</row>
    <row r="208" spans="1:38" x14ac:dyDescent="0.2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</row>
    <row r="209" spans="1:38" x14ac:dyDescent="0.2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</row>
    <row r="210" spans="1:38" x14ac:dyDescent="0.2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</row>
    <row r="211" spans="1:38" x14ac:dyDescent="0.2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</row>
    <row r="212" spans="1:38" x14ac:dyDescent="0.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</row>
    <row r="213" spans="1:38" x14ac:dyDescent="0.2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</row>
    <row r="214" spans="1:38" x14ac:dyDescent="0.2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</row>
    <row r="215" spans="1:38" x14ac:dyDescent="0.2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</row>
    <row r="216" spans="1:38" x14ac:dyDescent="0.2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</row>
    <row r="217" spans="1:38" x14ac:dyDescent="0.2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</row>
    <row r="218" spans="1:38" x14ac:dyDescent="0.2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</row>
    <row r="219" spans="1:38" x14ac:dyDescent="0.2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</row>
    <row r="220" spans="1:38" x14ac:dyDescent="0.2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</row>
    <row r="221" spans="1:38" x14ac:dyDescent="0.2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</row>
    <row r="222" spans="1:38" x14ac:dyDescent="0.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</row>
    <row r="223" spans="1:38" x14ac:dyDescent="0.2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</row>
    <row r="224" spans="1:38" x14ac:dyDescent="0.2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</row>
    <row r="225" spans="1:38" x14ac:dyDescent="0.2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</row>
    <row r="226" spans="1:38" x14ac:dyDescent="0.2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</row>
    <row r="227" spans="1:38" x14ac:dyDescent="0.2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</row>
    <row r="228" spans="1:38" x14ac:dyDescent="0.2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</row>
    <row r="229" spans="1:38" x14ac:dyDescent="0.2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</row>
    <row r="230" spans="1:38" x14ac:dyDescent="0.2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</row>
    <row r="231" spans="1:38" x14ac:dyDescent="0.2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</row>
    <row r="232" spans="1:38" x14ac:dyDescent="0.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</row>
    <row r="233" spans="1:38" x14ac:dyDescent="0.2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</row>
    <row r="234" spans="1:38" x14ac:dyDescent="0.2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</row>
    <row r="235" spans="1:38" x14ac:dyDescent="0.2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</row>
    <row r="236" spans="1:38" x14ac:dyDescent="0.2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</row>
    <row r="237" spans="1:38" x14ac:dyDescent="0.2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</row>
    <row r="238" spans="1:38" x14ac:dyDescent="0.2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</row>
    <row r="239" spans="1:38" x14ac:dyDescent="0.2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</row>
    <row r="240" spans="1:38" x14ac:dyDescent="0.2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</row>
    <row r="241" spans="1:38" x14ac:dyDescent="0.2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</row>
    <row r="242" spans="1:38" x14ac:dyDescent="0.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</row>
    <row r="243" spans="1:38" x14ac:dyDescent="0.2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</row>
    <row r="244" spans="1:38" x14ac:dyDescent="0.2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</row>
    <row r="245" spans="1:38" x14ac:dyDescent="0.2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</row>
    <row r="246" spans="1:38" x14ac:dyDescent="0.2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</row>
    <row r="247" spans="1:38" x14ac:dyDescent="0.2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</row>
    <row r="248" spans="1:38" x14ac:dyDescent="0.2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</row>
    <row r="249" spans="1:38" x14ac:dyDescent="0.2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</row>
    <row r="250" spans="1:38" x14ac:dyDescent="0.2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</row>
    <row r="251" spans="1:38" x14ac:dyDescent="0.2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</row>
    <row r="252" spans="1:38" x14ac:dyDescent="0.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</row>
    <row r="253" spans="1:38" x14ac:dyDescent="0.2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</row>
    <row r="254" spans="1:38" x14ac:dyDescent="0.2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</row>
    <row r="255" spans="1:38" x14ac:dyDescent="0.2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</row>
    <row r="256" spans="1:38" x14ac:dyDescent="0.2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</row>
    <row r="257" spans="1:38" x14ac:dyDescent="0.2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</row>
    <row r="258" spans="1:38" x14ac:dyDescent="0.2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</row>
    <row r="259" spans="1:38" x14ac:dyDescent="0.2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</row>
    <row r="260" spans="1:38" x14ac:dyDescent="0.2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</row>
    <row r="261" spans="1:38" x14ac:dyDescent="0.2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</row>
    <row r="262" spans="1:38" x14ac:dyDescent="0.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</row>
    <row r="263" spans="1:38" x14ac:dyDescent="0.2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</row>
    <row r="264" spans="1:38" x14ac:dyDescent="0.2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</row>
    <row r="265" spans="1:38" x14ac:dyDescent="0.2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</row>
    <row r="266" spans="1:38" x14ac:dyDescent="0.2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</row>
    <row r="267" spans="1:38" x14ac:dyDescent="0.2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</row>
    <row r="268" spans="1:38" x14ac:dyDescent="0.2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</row>
    <row r="269" spans="1:38" x14ac:dyDescent="0.2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</row>
    <row r="270" spans="1:38" x14ac:dyDescent="0.2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</row>
    <row r="271" spans="1:38" x14ac:dyDescent="0.2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</row>
    <row r="272" spans="1:38" x14ac:dyDescent="0.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</row>
    <row r="273" spans="1:38" x14ac:dyDescent="0.2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</row>
    <row r="274" spans="1:38" x14ac:dyDescent="0.2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</row>
    <row r="275" spans="1:38" x14ac:dyDescent="0.2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</row>
    <row r="276" spans="1:38" x14ac:dyDescent="0.2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</row>
    <row r="277" spans="1:38" x14ac:dyDescent="0.2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</row>
    <row r="278" spans="1:38" x14ac:dyDescent="0.2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</row>
    <row r="279" spans="1:38" x14ac:dyDescent="0.2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</row>
    <row r="280" spans="1:38" x14ac:dyDescent="0.2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</row>
    <row r="281" spans="1:38" x14ac:dyDescent="0.2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</row>
    <row r="282" spans="1:38" x14ac:dyDescent="0.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</row>
    <row r="283" spans="1:38" x14ac:dyDescent="0.2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</row>
    <row r="284" spans="1:38" x14ac:dyDescent="0.2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</row>
    <row r="285" spans="1:38" x14ac:dyDescent="0.2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</row>
    <row r="286" spans="1:38" x14ac:dyDescent="0.2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</row>
    <row r="287" spans="1:38" x14ac:dyDescent="0.2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</row>
    <row r="288" spans="1:38" x14ac:dyDescent="0.2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</row>
    <row r="289" spans="1:38" x14ac:dyDescent="0.2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</row>
    <row r="290" spans="1:38" x14ac:dyDescent="0.2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</row>
    <row r="291" spans="1:38" x14ac:dyDescent="0.2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</row>
    <row r="292" spans="1:38" x14ac:dyDescent="0.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</row>
    <row r="293" spans="1:38" x14ac:dyDescent="0.2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</row>
    <row r="294" spans="1:38" x14ac:dyDescent="0.2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</row>
    <row r="295" spans="1:38" x14ac:dyDescent="0.2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</row>
    <row r="296" spans="1:38" x14ac:dyDescent="0.2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</row>
    <row r="297" spans="1:38" x14ac:dyDescent="0.2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</row>
    <row r="298" spans="1:38" x14ac:dyDescent="0.2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</row>
    <row r="299" spans="1:38" x14ac:dyDescent="0.2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</row>
    <row r="300" spans="1:38" x14ac:dyDescent="0.2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</row>
    <row r="301" spans="1:38" x14ac:dyDescent="0.2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</row>
    <row r="302" spans="1:38" x14ac:dyDescent="0.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</row>
    <row r="303" spans="1:38" x14ac:dyDescent="0.2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</row>
    <row r="304" spans="1:38" x14ac:dyDescent="0.2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</row>
    <row r="305" spans="1:38" x14ac:dyDescent="0.2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</row>
    <row r="306" spans="1:38" x14ac:dyDescent="0.2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</row>
    <row r="307" spans="1:38" x14ac:dyDescent="0.2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</row>
    <row r="308" spans="1:38" x14ac:dyDescent="0.2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</row>
    <row r="309" spans="1:38" x14ac:dyDescent="0.2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</row>
    <row r="310" spans="1:38" x14ac:dyDescent="0.2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</row>
    <row r="311" spans="1:38" x14ac:dyDescent="0.2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</row>
    <row r="312" spans="1:38" x14ac:dyDescent="0.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</row>
    <row r="313" spans="1:38" x14ac:dyDescent="0.2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</row>
    <row r="314" spans="1:38" x14ac:dyDescent="0.2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</row>
    <row r="315" spans="1:38" x14ac:dyDescent="0.2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</row>
    <row r="316" spans="1:38" x14ac:dyDescent="0.2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</row>
    <row r="317" spans="1:38" x14ac:dyDescent="0.2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</row>
    <row r="318" spans="1:38" x14ac:dyDescent="0.2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</row>
    <row r="319" spans="1:38" x14ac:dyDescent="0.2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</row>
    <row r="320" spans="1:38" x14ac:dyDescent="0.2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</row>
    <row r="321" spans="1:38" x14ac:dyDescent="0.2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</row>
    <row r="322" spans="1:38" x14ac:dyDescent="0.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</row>
    <row r="323" spans="1:38" x14ac:dyDescent="0.2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</row>
    <row r="324" spans="1:38" x14ac:dyDescent="0.2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</row>
    <row r="325" spans="1:38" x14ac:dyDescent="0.2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</row>
    <row r="326" spans="1:38" x14ac:dyDescent="0.2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</row>
    <row r="327" spans="1:38" x14ac:dyDescent="0.2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</row>
    <row r="328" spans="1:38" x14ac:dyDescent="0.2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</row>
    <row r="329" spans="1:38" x14ac:dyDescent="0.2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</row>
    <row r="330" spans="1:38" x14ac:dyDescent="0.2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</row>
    <row r="331" spans="1:38" x14ac:dyDescent="0.2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</row>
    <row r="332" spans="1:38" x14ac:dyDescent="0.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</row>
    <row r="333" spans="1:38" x14ac:dyDescent="0.2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</row>
    <row r="334" spans="1:38" x14ac:dyDescent="0.2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</row>
    <row r="335" spans="1:38" x14ac:dyDescent="0.2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</row>
    <row r="336" spans="1:38" x14ac:dyDescent="0.2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</row>
    <row r="337" spans="1:38" x14ac:dyDescent="0.2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</row>
    <row r="338" spans="1:38" x14ac:dyDescent="0.2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</row>
    <row r="339" spans="1:38" x14ac:dyDescent="0.2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</row>
    <row r="340" spans="1:38" x14ac:dyDescent="0.2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</row>
    <row r="341" spans="1:38" x14ac:dyDescent="0.2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</row>
    <row r="342" spans="1:38" x14ac:dyDescent="0.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</row>
    <row r="343" spans="1:38" x14ac:dyDescent="0.2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</row>
    <row r="344" spans="1:38" x14ac:dyDescent="0.2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</row>
    <row r="345" spans="1:38" x14ac:dyDescent="0.2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</row>
    <row r="346" spans="1:38" x14ac:dyDescent="0.2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</row>
    <row r="347" spans="1:38" x14ac:dyDescent="0.2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</row>
    <row r="348" spans="1:38" x14ac:dyDescent="0.2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</row>
    <row r="349" spans="1:38" x14ac:dyDescent="0.2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</row>
    <row r="350" spans="1:38" x14ac:dyDescent="0.2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</row>
    <row r="351" spans="1:38" x14ac:dyDescent="0.2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</row>
    <row r="352" spans="1:38" x14ac:dyDescent="0.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</row>
    <row r="353" spans="1:38" x14ac:dyDescent="0.2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</row>
    <row r="354" spans="1:38" x14ac:dyDescent="0.2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</row>
    <row r="355" spans="1:38" x14ac:dyDescent="0.2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</row>
    <row r="356" spans="1:38" x14ac:dyDescent="0.2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</row>
    <row r="357" spans="1:38" x14ac:dyDescent="0.2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</row>
    <row r="358" spans="1:38" x14ac:dyDescent="0.2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</row>
    <row r="359" spans="1:38" x14ac:dyDescent="0.2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</row>
    <row r="360" spans="1:38" x14ac:dyDescent="0.2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</row>
    <row r="361" spans="1:38" x14ac:dyDescent="0.2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</row>
    <row r="362" spans="1:38" x14ac:dyDescent="0.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</row>
    <row r="363" spans="1:38" x14ac:dyDescent="0.2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</row>
    <row r="364" spans="1:38" x14ac:dyDescent="0.2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</row>
    <row r="365" spans="1:38" x14ac:dyDescent="0.2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</row>
    <row r="366" spans="1:38" x14ac:dyDescent="0.2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</row>
    <row r="367" spans="1:38" x14ac:dyDescent="0.2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</row>
    <row r="368" spans="1:38" x14ac:dyDescent="0.2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</row>
    <row r="369" spans="1:38" x14ac:dyDescent="0.2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</row>
    <row r="370" spans="1:38" x14ac:dyDescent="0.2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</row>
    <row r="371" spans="1:38" x14ac:dyDescent="0.2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</row>
    <row r="372" spans="1:38" x14ac:dyDescent="0.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</row>
    <row r="373" spans="1:38" x14ac:dyDescent="0.2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</row>
    <row r="374" spans="1:38" x14ac:dyDescent="0.2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</row>
    <row r="375" spans="1:38" x14ac:dyDescent="0.2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</row>
    <row r="376" spans="1:38" x14ac:dyDescent="0.2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</row>
    <row r="377" spans="1:38" x14ac:dyDescent="0.2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</row>
    <row r="378" spans="1:38" x14ac:dyDescent="0.2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</row>
    <row r="379" spans="1:38" x14ac:dyDescent="0.2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</row>
    <row r="380" spans="1:38" x14ac:dyDescent="0.2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</row>
    <row r="381" spans="1:38" x14ac:dyDescent="0.2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</row>
    <row r="382" spans="1:38" x14ac:dyDescent="0.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</row>
    <row r="383" spans="1:38" x14ac:dyDescent="0.2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</row>
    <row r="384" spans="1:38" x14ac:dyDescent="0.2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</row>
    <row r="385" spans="1:38" x14ac:dyDescent="0.2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</row>
    <row r="386" spans="1:38" x14ac:dyDescent="0.2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</row>
    <row r="387" spans="1:38" x14ac:dyDescent="0.2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</row>
    <row r="388" spans="1:38" x14ac:dyDescent="0.2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</row>
    <row r="389" spans="1:38" x14ac:dyDescent="0.2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</row>
    <row r="390" spans="1:38" x14ac:dyDescent="0.2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</row>
    <row r="391" spans="1:38" x14ac:dyDescent="0.2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</row>
    <row r="392" spans="1:38" x14ac:dyDescent="0.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</row>
    <row r="393" spans="1:38" x14ac:dyDescent="0.2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</row>
    <row r="394" spans="1:38" x14ac:dyDescent="0.2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</row>
    <row r="395" spans="1:38" x14ac:dyDescent="0.2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</row>
    <row r="396" spans="1:38" x14ac:dyDescent="0.2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</row>
    <row r="397" spans="1:38" x14ac:dyDescent="0.2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</row>
    <row r="398" spans="1:38" x14ac:dyDescent="0.2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</row>
    <row r="399" spans="1:38" x14ac:dyDescent="0.2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</row>
    <row r="400" spans="1:38" x14ac:dyDescent="0.2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</row>
    <row r="401" spans="1:38" x14ac:dyDescent="0.2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</row>
    <row r="402" spans="1:38" x14ac:dyDescent="0.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</row>
    <row r="403" spans="1:38" x14ac:dyDescent="0.2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</row>
    <row r="404" spans="1:38" x14ac:dyDescent="0.2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</row>
    <row r="405" spans="1:38" x14ac:dyDescent="0.2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</row>
    <row r="406" spans="1:38" x14ac:dyDescent="0.2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</row>
    <row r="407" spans="1:38" x14ac:dyDescent="0.2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</row>
    <row r="408" spans="1:38" x14ac:dyDescent="0.2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</row>
    <row r="409" spans="1:38" x14ac:dyDescent="0.2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</row>
    <row r="410" spans="1:38" x14ac:dyDescent="0.2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</row>
    <row r="411" spans="1:38" x14ac:dyDescent="0.2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</row>
    <row r="412" spans="1:38" x14ac:dyDescent="0.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</row>
    <row r="413" spans="1:38" x14ac:dyDescent="0.2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</row>
    <row r="414" spans="1:38" x14ac:dyDescent="0.2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</row>
    <row r="415" spans="1:38" x14ac:dyDescent="0.2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</row>
    <row r="416" spans="1:38" x14ac:dyDescent="0.2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</row>
    <row r="417" spans="1:38" x14ac:dyDescent="0.2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</row>
    <row r="418" spans="1:38" x14ac:dyDescent="0.2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</row>
    <row r="419" spans="1:38" x14ac:dyDescent="0.2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</row>
    <row r="420" spans="1:38" x14ac:dyDescent="0.2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</row>
    <row r="421" spans="1:38" x14ac:dyDescent="0.2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</row>
    <row r="422" spans="1:38" x14ac:dyDescent="0.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</row>
    <row r="423" spans="1:38" x14ac:dyDescent="0.2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</row>
    <row r="424" spans="1:38" x14ac:dyDescent="0.2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</row>
    <row r="425" spans="1:38" x14ac:dyDescent="0.2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</row>
    <row r="426" spans="1:38" x14ac:dyDescent="0.2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</row>
    <row r="427" spans="1:38" x14ac:dyDescent="0.2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</row>
    <row r="428" spans="1:38" x14ac:dyDescent="0.2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</row>
    <row r="429" spans="1:38" x14ac:dyDescent="0.2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</row>
    <row r="430" spans="1:38" x14ac:dyDescent="0.2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</row>
    <row r="431" spans="1:38" x14ac:dyDescent="0.2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</row>
    <row r="432" spans="1:38" x14ac:dyDescent="0.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</row>
    <row r="433" spans="1:38" x14ac:dyDescent="0.2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</row>
    <row r="434" spans="1:38" x14ac:dyDescent="0.2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</row>
    <row r="435" spans="1:38" x14ac:dyDescent="0.2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</row>
    <row r="436" spans="1:38" x14ac:dyDescent="0.2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</row>
    <row r="437" spans="1:38" x14ac:dyDescent="0.2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</row>
    <row r="438" spans="1:38" x14ac:dyDescent="0.2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</row>
    <row r="439" spans="1:38" x14ac:dyDescent="0.2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</row>
    <row r="440" spans="1:38" x14ac:dyDescent="0.2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</row>
    <row r="441" spans="1:38" x14ac:dyDescent="0.2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</row>
    <row r="442" spans="1:38" x14ac:dyDescent="0.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</row>
    <row r="443" spans="1:38" x14ac:dyDescent="0.2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</row>
    <row r="444" spans="1:38" x14ac:dyDescent="0.2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</row>
    <row r="445" spans="1:38" x14ac:dyDescent="0.2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</row>
    <row r="446" spans="1:38" x14ac:dyDescent="0.2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</row>
    <row r="447" spans="1:38" x14ac:dyDescent="0.2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</row>
    <row r="448" spans="1:38" x14ac:dyDescent="0.2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</row>
    <row r="449" spans="1:38" x14ac:dyDescent="0.2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</row>
    <row r="450" spans="1:38" x14ac:dyDescent="0.2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</row>
    <row r="451" spans="1:38" x14ac:dyDescent="0.2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</row>
    <row r="452" spans="1:38" x14ac:dyDescent="0.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</row>
    <row r="453" spans="1:38" x14ac:dyDescent="0.2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</row>
    <row r="454" spans="1:38" x14ac:dyDescent="0.2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</row>
    <row r="455" spans="1:38" x14ac:dyDescent="0.2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</row>
    <row r="456" spans="1:38" x14ac:dyDescent="0.2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</row>
    <row r="457" spans="1:38" x14ac:dyDescent="0.2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</row>
    <row r="458" spans="1:38" x14ac:dyDescent="0.2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</row>
    <row r="459" spans="1:38" x14ac:dyDescent="0.2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</row>
    <row r="460" spans="1:38" x14ac:dyDescent="0.2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</row>
    <row r="461" spans="1:38" x14ac:dyDescent="0.2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</row>
    <row r="462" spans="1:38" x14ac:dyDescent="0.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</row>
    <row r="463" spans="1:38" x14ac:dyDescent="0.2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</row>
    <row r="464" spans="1:38" x14ac:dyDescent="0.2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</row>
    <row r="465" spans="1:38" x14ac:dyDescent="0.2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</row>
    <row r="466" spans="1:38" x14ac:dyDescent="0.2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</row>
    <row r="467" spans="1:38" x14ac:dyDescent="0.2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</row>
    <row r="468" spans="1:38" x14ac:dyDescent="0.2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</row>
    <row r="469" spans="1:38" x14ac:dyDescent="0.2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</row>
    <row r="470" spans="1:38" x14ac:dyDescent="0.2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</row>
    <row r="471" spans="1:38" x14ac:dyDescent="0.2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</row>
    <row r="472" spans="1:38" x14ac:dyDescent="0.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</row>
    <row r="473" spans="1:38" x14ac:dyDescent="0.2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</row>
    <row r="474" spans="1:38" x14ac:dyDescent="0.2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</row>
    <row r="475" spans="1:38" x14ac:dyDescent="0.2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</row>
    <row r="476" spans="1:38" x14ac:dyDescent="0.2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</row>
    <row r="477" spans="1:38" x14ac:dyDescent="0.2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</row>
    <row r="478" spans="1:38" x14ac:dyDescent="0.2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</row>
    <row r="479" spans="1:38" x14ac:dyDescent="0.2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</row>
    <row r="480" spans="1:38" x14ac:dyDescent="0.2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</row>
    <row r="481" spans="1:38" x14ac:dyDescent="0.2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</row>
    <row r="482" spans="1:38" x14ac:dyDescent="0.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</row>
    <row r="483" spans="1:38" x14ac:dyDescent="0.2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</row>
    <row r="484" spans="1:38" x14ac:dyDescent="0.2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</row>
    <row r="485" spans="1:38" x14ac:dyDescent="0.2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</row>
    <row r="486" spans="1:38" x14ac:dyDescent="0.2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</row>
    <row r="487" spans="1:38" x14ac:dyDescent="0.2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</row>
    <row r="488" spans="1:38" x14ac:dyDescent="0.2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</row>
    <row r="489" spans="1:38" x14ac:dyDescent="0.2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</row>
    <row r="490" spans="1:38" x14ac:dyDescent="0.2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</row>
    <row r="491" spans="1:38" x14ac:dyDescent="0.2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</row>
    <row r="492" spans="1:38" x14ac:dyDescent="0.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</row>
    <row r="493" spans="1:38" x14ac:dyDescent="0.2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</row>
    <row r="494" spans="1:38" x14ac:dyDescent="0.2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</row>
    <row r="495" spans="1:38" x14ac:dyDescent="0.2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</row>
    <row r="496" spans="1:38" x14ac:dyDescent="0.2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</row>
    <row r="497" spans="1:38" x14ac:dyDescent="0.2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</row>
    <row r="498" spans="1:38" x14ac:dyDescent="0.2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</row>
    <row r="499" spans="1:38" x14ac:dyDescent="0.2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</row>
    <row r="500" spans="1:38" x14ac:dyDescent="0.2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</row>
    <row r="501" spans="1:38" x14ac:dyDescent="0.2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</row>
    <row r="502" spans="1:38" x14ac:dyDescent="0.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</row>
    <row r="503" spans="1:38" x14ac:dyDescent="0.2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</row>
    <row r="504" spans="1:38" x14ac:dyDescent="0.2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</row>
    <row r="505" spans="1:38" x14ac:dyDescent="0.2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</row>
    <row r="506" spans="1:38" x14ac:dyDescent="0.2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</row>
    <row r="507" spans="1:38" x14ac:dyDescent="0.2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</row>
    <row r="508" spans="1:38" x14ac:dyDescent="0.2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</row>
    <row r="509" spans="1:38" x14ac:dyDescent="0.2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</row>
    <row r="510" spans="1:38" x14ac:dyDescent="0.2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</row>
    <row r="511" spans="1:38" x14ac:dyDescent="0.2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</row>
    <row r="512" spans="1:38" x14ac:dyDescent="0.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</row>
    <row r="513" spans="1:38" x14ac:dyDescent="0.2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</row>
    <row r="514" spans="1:38" x14ac:dyDescent="0.2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</row>
    <row r="515" spans="1:38" x14ac:dyDescent="0.2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</row>
    <row r="516" spans="1:38" x14ac:dyDescent="0.2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</row>
    <row r="517" spans="1:38" x14ac:dyDescent="0.2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</row>
    <row r="518" spans="1:38" x14ac:dyDescent="0.2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</row>
    <row r="519" spans="1:38" x14ac:dyDescent="0.2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</row>
    <row r="520" spans="1:38" x14ac:dyDescent="0.2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</row>
    <row r="521" spans="1:38" x14ac:dyDescent="0.2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</row>
    <row r="522" spans="1:38" x14ac:dyDescent="0.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</row>
    <row r="523" spans="1:38" x14ac:dyDescent="0.2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</row>
    <row r="524" spans="1:38" x14ac:dyDescent="0.2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</row>
    <row r="525" spans="1:38" x14ac:dyDescent="0.2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</row>
    <row r="526" spans="1:38" x14ac:dyDescent="0.2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</row>
    <row r="527" spans="1:38" x14ac:dyDescent="0.2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</row>
    <row r="528" spans="1:38" x14ac:dyDescent="0.2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</row>
    <row r="529" spans="1:38" x14ac:dyDescent="0.2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</row>
    <row r="530" spans="1:38" x14ac:dyDescent="0.2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</row>
    <row r="531" spans="1:38" x14ac:dyDescent="0.2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</row>
    <row r="532" spans="1:38" x14ac:dyDescent="0.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</row>
    <row r="533" spans="1:38" x14ac:dyDescent="0.2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</row>
    <row r="534" spans="1:38" x14ac:dyDescent="0.2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</row>
    <row r="535" spans="1:38" x14ac:dyDescent="0.2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</row>
    <row r="536" spans="1:38" x14ac:dyDescent="0.2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</row>
    <row r="537" spans="1:38" x14ac:dyDescent="0.2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</row>
    <row r="538" spans="1:38" x14ac:dyDescent="0.2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</row>
    <row r="539" spans="1:38" x14ac:dyDescent="0.2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</row>
    <row r="540" spans="1:38" x14ac:dyDescent="0.2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</row>
    <row r="541" spans="1:38" x14ac:dyDescent="0.2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</row>
    <row r="542" spans="1:38" x14ac:dyDescent="0.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</row>
    <row r="543" spans="1:38" x14ac:dyDescent="0.2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</row>
    <row r="544" spans="1:38" x14ac:dyDescent="0.2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</row>
    <row r="545" spans="1:38" x14ac:dyDescent="0.2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</row>
    <row r="546" spans="1:38" x14ac:dyDescent="0.2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</row>
    <row r="547" spans="1:38" x14ac:dyDescent="0.2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</row>
    <row r="548" spans="1:38" x14ac:dyDescent="0.2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</row>
    <row r="549" spans="1:38" x14ac:dyDescent="0.2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</row>
    <row r="550" spans="1:38" x14ac:dyDescent="0.2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</row>
    <row r="551" spans="1:38" x14ac:dyDescent="0.2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</row>
    <row r="552" spans="1:38" x14ac:dyDescent="0.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</row>
    <row r="553" spans="1:38" x14ac:dyDescent="0.2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</row>
    <row r="554" spans="1:38" x14ac:dyDescent="0.2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</row>
    <row r="555" spans="1:38" x14ac:dyDescent="0.2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</row>
    <row r="556" spans="1:38" x14ac:dyDescent="0.2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</row>
    <row r="557" spans="1:38" x14ac:dyDescent="0.2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</row>
    <row r="558" spans="1:38" x14ac:dyDescent="0.2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</row>
    <row r="559" spans="1:38" x14ac:dyDescent="0.2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</row>
    <row r="560" spans="1:38" x14ac:dyDescent="0.2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</row>
    <row r="561" spans="1:38" x14ac:dyDescent="0.2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</row>
    <row r="562" spans="1:38" x14ac:dyDescent="0.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</row>
    <row r="563" spans="1:38" x14ac:dyDescent="0.2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</row>
    <row r="564" spans="1:38" x14ac:dyDescent="0.2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</row>
    <row r="565" spans="1:38" x14ac:dyDescent="0.2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</row>
    <row r="566" spans="1:38" x14ac:dyDescent="0.2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</row>
    <row r="567" spans="1:38" x14ac:dyDescent="0.2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</row>
    <row r="568" spans="1:38" x14ac:dyDescent="0.2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</row>
    <row r="569" spans="1:38" x14ac:dyDescent="0.2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</row>
    <row r="570" spans="1:38" x14ac:dyDescent="0.2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</row>
    <row r="571" spans="1:38" x14ac:dyDescent="0.2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</row>
    <row r="572" spans="1:38" x14ac:dyDescent="0.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</row>
    <row r="573" spans="1:38" x14ac:dyDescent="0.2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</row>
    <row r="574" spans="1:38" x14ac:dyDescent="0.2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</row>
    <row r="575" spans="1:38" x14ac:dyDescent="0.2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</row>
    <row r="576" spans="1:38" x14ac:dyDescent="0.2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</row>
    <row r="577" spans="1:38" x14ac:dyDescent="0.2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</row>
    <row r="578" spans="1:38" x14ac:dyDescent="0.2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</row>
    <row r="579" spans="1:38" x14ac:dyDescent="0.2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</row>
    <row r="580" spans="1:38" x14ac:dyDescent="0.2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</row>
    <row r="581" spans="1:38" x14ac:dyDescent="0.2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</row>
    <row r="582" spans="1:38" x14ac:dyDescent="0.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</row>
    <row r="583" spans="1:38" x14ac:dyDescent="0.2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</row>
    <row r="584" spans="1:38" x14ac:dyDescent="0.2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</row>
    <row r="585" spans="1:38" x14ac:dyDescent="0.2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</row>
    <row r="586" spans="1:38" x14ac:dyDescent="0.2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</row>
    <row r="587" spans="1:38" x14ac:dyDescent="0.2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</row>
    <row r="588" spans="1:38" x14ac:dyDescent="0.2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</row>
    <row r="589" spans="1:38" x14ac:dyDescent="0.2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</row>
    <row r="590" spans="1:38" x14ac:dyDescent="0.2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</row>
    <row r="591" spans="1:38" x14ac:dyDescent="0.2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</row>
    <row r="592" spans="1:38" x14ac:dyDescent="0.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</row>
    <row r="593" spans="1:38" x14ac:dyDescent="0.2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</row>
    <row r="594" spans="1:38" x14ac:dyDescent="0.2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</row>
    <row r="595" spans="1:38" x14ac:dyDescent="0.2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</row>
    <row r="596" spans="1:38" x14ac:dyDescent="0.2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</row>
    <row r="597" spans="1:38" x14ac:dyDescent="0.2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</row>
    <row r="598" spans="1:38" x14ac:dyDescent="0.2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</row>
    <row r="599" spans="1:38" x14ac:dyDescent="0.2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</row>
    <row r="600" spans="1:38" x14ac:dyDescent="0.2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</row>
    <row r="601" spans="1:38" x14ac:dyDescent="0.2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</row>
    <row r="602" spans="1:38" x14ac:dyDescent="0.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</row>
    <row r="603" spans="1:38" x14ac:dyDescent="0.2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</row>
    <row r="604" spans="1:38" x14ac:dyDescent="0.2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</row>
    <row r="605" spans="1:38" x14ac:dyDescent="0.2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</row>
    <row r="606" spans="1:38" x14ac:dyDescent="0.2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</row>
    <row r="607" spans="1:38" x14ac:dyDescent="0.2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</row>
    <row r="608" spans="1:38" x14ac:dyDescent="0.2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</row>
    <row r="609" spans="1:38" x14ac:dyDescent="0.2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</row>
    <row r="610" spans="1:38" x14ac:dyDescent="0.2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</row>
    <row r="611" spans="1:38" x14ac:dyDescent="0.2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</row>
    <row r="612" spans="1:38" x14ac:dyDescent="0.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</row>
    <row r="613" spans="1:38" x14ac:dyDescent="0.2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</row>
    <row r="614" spans="1:38" x14ac:dyDescent="0.2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</row>
    <row r="615" spans="1:38" x14ac:dyDescent="0.2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</row>
    <row r="616" spans="1:38" x14ac:dyDescent="0.2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</row>
    <row r="617" spans="1:38" x14ac:dyDescent="0.2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</row>
    <row r="618" spans="1:38" x14ac:dyDescent="0.2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</row>
    <row r="619" spans="1:38" x14ac:dyDescent="0.2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</row>
    <row r="620" spans="1:38" x14ac:dyDescent="0.2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</row>
    <row r="621" spans="1:38" x14ac:dyDescent="0.2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</row>
    <row r="622" spans="1:38" x14ac:dyDescent="0.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</row>
    <row r="623" spans="1:38" x14ac:dyDescent="0.2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</row>
    <row r="624" spans="1:38" x14ac:dyDescent="0.2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</row>
    <row r="625" spans="1:38" x14ac:dyDescent="0.2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</row>
    <row r="626" spans="1:38" x14ac:dyDescent="0.2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</row>
    <row r="627" spans="1:38" x14ac:dyDescent="0.2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</row>
    <row r="628" spans="1:38" x14ac:dyDescent="0.2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</row>
    <row r="629" spans="1:38" x14ac:dyDescent="0.2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</row>
    <row r="630" spans="1:38" x14ac:dyDescent="0.2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</row>
    <row r="631" spans="1:38" x14ac:dyDescent="0.2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</row>
    <row r="632" spans="1:38" x14ac:dyDescent="0.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</row>
    <row r="633" spans="1:38" x14ac:dyDescent="0.2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</row>
    <row r="634" spans="1:38" x14ac:dyDescent="0.2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</row>
    <row r="635" spans="1:38" x14ac:dyDescent="0.2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</row>
    <row r="636" spans="1:38" x14ac:dyDescent="0.2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</row>
    <row r="637" spans="1:38" x14ac:dyDescent="0.2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</row>
    <row r="638" spans="1:38" x14ac:dyDescent="0.2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</row>
    <row r="639" spans="1:38" x14ac:dyDescent="0.2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</row>
    <row r="640" spans="1:38" x14ac:dyDescent="0.2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</row>
    <row r="641" spans="1:38" x14ac:dyDescent="0.2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</row>
    <row r="642" spans="1:38" x14ac:dyDescent="0.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</row>
    <row r="643" spans="1:38" x14ac:dyDescent="0.2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</row>
    <row r="644" spans="1:38" x14ac:dyDescent="0.2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</row>
    <row r="645" spans="1:38" x14ac:dyDescent="0.2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</row>
    <row r="646" spans="1:38" x14ac:dyDescent="0.2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</row>
    <row r="647" spans="1:38" x14ac:dyDescent="0.2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</row>
    <row r="648" spans="1:38" x14ac:dyDescent="0.2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</row>
    <row r="649" spans="1:38" x14ac:dyDescent="0.2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</row>
    <row r="650" spans="1:38" x14ac:dyDescent="0.2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</row>
    <row r="651" spans="1:38" x14ac:dyDescent="0.2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</row>
    <row r="652" spans="1:38" x14ac:dyDescent="0.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</row>
    <row r="653" spans="1:38" x14ac:dyDescent="0.2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</row>
    <row r="654" spans="1:38" x14ac:dyDescent="0.2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</row>
    <row r="655" spans="1:38" x14ac:dyDescent="0.2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</row>
    <row r="656" spans="1:38" x14ac:dyDescent="0.2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</row>
    <row r="657" spans="1:38" x14ac:dyDescent="0.2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</row>
    <row r="658" spans="1:38" x14ac:dyDescent="0.2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</row>
    <row r="659" spans="1:38" x14ac:dyDescent="0.2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</row>
    <row r="660" spans="1:38" x14ac:dyDescent="0.2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</row>
    <row r="661" spans="1:38" x14ac:dyDescent="0.2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</row>
    <row r="662" spans="1:38" x14ac:dyDescent="0.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</row>
    <row r="663" spans="1:38" x14ac:dyDescent="0.2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</row>
    <row r="664" spans="1:38" x14ac:dyDescent="0.2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</row>
    <row r="665" spans="1:38" x14ac:dyDescent="0.2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</row>
    <row r="666" spans="1:38" x14ac:dyDescent="0.2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</row>
    <row r="667" spans="1:38" x14ac:dyDescent="0.2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</row>
    <row r="668" spans="1:38" x14ac:dyDescent="0.2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</row>
    <row r="669" spans="1:38" x14ac:dyDescent="0.2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</row>
    <row r="670" spans="1:38" x14ac:dyDescent="0.2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</row>
    <row r="671" spans="1:38" x14ac:dyDescent="0.2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</row>
    <row r="672" spans="1:38" x14ac:dyDescent="0.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</row>
    <row r="673" spans="1:38" x14ac:dyDescent="0.2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</row>
    <row r="674" spans="1:38" x14ac:dyDescent="0.2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</row>
    <row r="675" spans="1:38" x14ac:dyDescent="0.2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</row>
    <row r="676" spans="1:38" x14ac:dyDescent="0.2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</row>
    <row r="677" spans="1:38" x14ac:dyDescent="0.2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</row>
    <row r="678" spans="1:38" x14ac:dyDescent="0.2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</row>
    <row r="679" spans="1:38" x14ac:dyDescent="0.2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</row>
    <row r="680" spans="1:38" x14ac:dyDescent="0.2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</row>
    <row r="681" spans="1:38" x14ac:dyDescent="0.2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</row>
    <row r="682" spans="1:38" x14ac:dyDescent="0.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</row>
    <row r="683" spans="1:38" x14ac:dyDescent="0.2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</row>
    <row r="684" spans="1:38" x14ac:dyDescent="0.2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</row>
    <row r="685" spans="1:38" x14ac:dyDescent="0.2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</row>
    <row r="686" spans="1:38" x14ac:dyDescent="0.2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</row>
    <row r="687" spans="1:38" x14ac:dyDescent="0.2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</row>
    <row r="688" spans="1:38" x14ac:dyDescent="0.2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</row>
    <row r="689" spans="1:38" x14ac:dyDescent="0.2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</row>
    <row r="690" spans="1:38" x14ac:dyDescent="0.2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</row>
    <row r="691" spans="1:38" x14ac:dyDescent="0.2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</row>
    <row r="692" spans="1:38" x14ac:dyDescent="0.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</row>
    <row r="693" spans="1:38" x14ac:dyDescent="0.2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</row>
    <row r="694" spans="1:38" x14ac:dyDescent="0.2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</row>
    <row r="695" spans="1:38" x14ac:dyDescent="0.2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</row>
    <row r="696" spans="1:38" x14ac:dyDescent="0.2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</row>
    <row r="697" spans="1:38" x14ac:dyDescent="0.2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</row>
    <row r="698" spans="1:38" x14ac:dyDescent="0.2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</row>
    <row r="699" spans="1:38" x14ac:dyDescent="0.2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</row>
    <row r="700" spans="1:38" x14ac:dyDescent="0.2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</row>
    <row r="701" spans="1:38" x14ac:dyDescent="0.2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</row>
    <row r="702" spans="1:38" x14ac:dyDescent="0.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</row>
    <row r="703" spans="1:38" x14ac:dyDescent="0.2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</row>
    <row r="704" spans="1:38" x14ac:dyDescent="0.2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</row>
    <row r="705" spans="1:38" x14ac:dyDescent="0.2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</row>
    <row r="706" spans="1:38" x14ac:dyDescent="0.2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</row>
    <row r="707" spans="1:38" x14ac:dyDescent="0.2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</row>
    <row r="708" spans="1:38" x14ac:dyDescent="0.2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</row>
    <row r="709" spans="1:38" x14ac:dyDescent="0.2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</row>
    <row r="710" spans="1:38" x14ac:dyDescent="0.2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</row>
    <row r="711" spans="1:38" x14ac:dyDescent="0.2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</row>
    <row r="712" spans="1:38" x14ac:dyDescent="0.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</row>
    <row r="713" spans="1:38" x14ac:dyDescent="0.2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</row>
    <row r="714" spans="1:38" x14ac:dyDescent="0.2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</row>
    <row r="715" spans="1:38" x14ac:dyDescent="0.2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</row>
    <row r="716" spans="1:38" x14ac:dyDescent="0.2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</row>
    <row r="717" spans="1:38" x14ac:dyDescent="0.2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</row>
    <row r="718" spans="1:38" x14ac:dyDescent="0.2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</row>
    <row r="719" spans="1:38" x14ac:dyDescent="0.2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</row>
    <row r="720" spans="1:38" x14ac:dyDescent="0.2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</row>
    <row r="721" spans="1:38" x14ac:dyDescent="0.2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</row>
    <row r="722" spans="1:38" x14ac:dyDescent="0.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</row>
    <row r="723" spans="1:38" x14ac:dyDescent="0.2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</row>
    <row r="724" spans="1:38" x14ac:dyDescent="0.2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</row>
    <row r="725" spans="1:38" x14ac:dyDescent="0.2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</row>
    <row r="726" spans="1:38" x14ac:dyDescent="0.2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</row>
    <row r="727" spans="1:38" x14ac:dyDescent="0.2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</row>
    <row r="728" spans="1:38" x14ac:dyDescent="0.2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</row>
    <row r="729" spans="1:38" x14ac:dyDescent="0.2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</row>
    <row r="730" spans="1:38" x14ac:dyDescent="0.2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</row>
    <row r="731" spans="1:38" x14ac:dyDescent="0.2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</row>
    <row r="732" spans="1:38" x14ac:dyDescent="0.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</row>
    <row r="733" spans="1:38" x14ac:dyDescent="0.2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</row>
    <row r="734" spans="1:38" x14ac:dyDescent="0.2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</row>
    <row r="735" spans="1:38" x14ac:dyDescent="0.2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</row>
    <row r="736" spans="1:38" x14ac:dyDescent="0.2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</row>
    <row r="737" spans="1:38" x14ac:dyDescent="0.2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</row>
    <row r="738" spans="1:38" x14ac:dyDescent="0.2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</row>
    <row r="739" spans="1:38" x14ac:dyDescent="0.2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</row>
    <row r="740" spans="1:38" x14ac:dyDescent="0.2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</row>
    <row r="741" spans="1:38" x14ac:dyDescent="0.2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</row>
    <row r="742" spans="1:38" x14ac:dyDescent="0.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</row>
    <row r="743" spans="1:38" x14ac:dyDescent="0.2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</row>
    <row r="744" spans="1:38" x14ac:dyDescent="0.2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</row>
    <row r="745" spans="1:38" x14ac:dyDescent="0.2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</row>
    <row r="746" spans="1:38" x14ac:dyDescent="0.2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</row>
    <row r="747" spans="1:38" x14ac:dyDescent="0.2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</row>
    <row r="748" spans="1:38" x14ac:dyDescent="0.2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</row>
    <row r="749" spans="1:38" x14ac:dyDescent="0.2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</row>
    <row r="750" spans="1:38" x14ac:dyDescent="0.2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</row>
    <row r="751" spans="1:38" x14ac:dyDescent="0.2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</row>
    <row r="752" spans="1:38" x14ac:dyDescent="0.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</row>
    <row r="753" spans="1:38" x14ac:dyDescent="0.2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</row>
    <row r="754" spans="1:38" x14ac:dyDescent="0.2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</row>
    <row r="755" spans="1:38" x14ac:dyDescent="0.2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</row>
    <row r="756" spans="1:38" x14ac:dyDescent="0.2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</row>
    <row r="757" spans="1:38" x14ac:dyDescent="0.2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</row>
    <row r="758" spans="1:38" x14ac:dyDescent="0.2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</row>
    <row r="759" spans="1:38" x14ac:dyDescent="0.2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</row>
    <row r="760" spans="1:38" x14ac:dyDescent="0.2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</row>
    <row r="761" spans="1:38" x14ac:dyDescent="0.2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</row>
    <row r="762" spans="1:38" x14ac:dyDescent="0.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</row>
    <row r="763" spans="1:38" x14ac:dyDescent="0.2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</row>
    <row r="764" spans="1:38" x14ac:dyDescent="0.2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</row>
    <row r="765" spans="1:38" x14ac:dyDescent="0.2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</row>
    <row r="766" spans="1:38" x14ac:dyDescent="0.2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</row>
    <row r="767" spans="1:38" x14ac:dyDescent="0.2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</row>
    <row r="768" spans="1:38" x14ac:dyDescent="0.2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</row>
    <row r="769" spans="1:38" x14ac:dyDescent="0.2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</row>
    <row r="770" spans="1:38" x14ac:dyDescent="0.2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</row>
    <row r="771" spans="1:38" x14ac:dyDescent="0.2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</row>
    <row r="772" spans="1:38" x14ac:dyDescent="0.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</row>
    <row r="773" spans="1:38" x14ac:dyDescent="0.2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</row>
    <row r="774" spans="1:38" x14ac:dyDescent="0.2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</row>
    <row r="775" spans="1:38" x14ac:dyDescent="0.2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</row>
    <row r="776" spans="1:38" x14ac:dyDescent="0.2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</row>
    <row r="777" spans="1:38" x14ac:dyDescent="0.2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</row>
    <row r="778" spans="1:38" x14ac:dyDescent="0.2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</row>
    <row r="779" spans="1:38" x14ac:dyDescent="0.2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</row>
    <row r="780" spans="1:38" x14ac:dyDescent="0.2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</row>
    <row r="781" spans="1:38" x14ac:dyDescent="0.2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</row>
    <row r="782" spans="1:38" x14ac:dyDescent="0.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</row>
    <row r="783" spans="1:38" x14ac:dyDescent="0.2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</row>
    <row r="784" spans="1:38" x14ac:dyDescent="0.2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</row>
    <row r="785" spans="1:38" x14ac:dyDescent="0.2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</row>
    <row r="786" spans="1:38" x14ac:dyDescent="0.2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</row>
    <row r="787" spans="1:38" x14ac:dyDescent="0.2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</row>
    <row r="788" spans="1:38" x14ac:dyDescent="0.2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</row>
    <row r="789" spans="1:38" x14ac:dyDescent="0.2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</row>
    <row r="790" spans="1:38" x14ac:dyDescent="0.2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</row>
    <row r="791" spans="1:38" x14ac:dyDescent="0.2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</row>
    <row r="792" spans="1:38" x14ac:dyDescent="0.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</row>
    <row r="793" spans="1:38" x14ac:dyDescent="0.2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</row>
    <row r="794" spans="1:38" x14ac:dyDescent="0.2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</row>
    <row r="795" spans="1:38" x14ac:dyDescent="0.2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</row>
    <row r="796" spans="1:38" x14ac:dyDescent="0.2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</row>
    <row r="797" spans="1:38" x14ac:dyDescent="0.2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</row>
    <row r="798" spans="1:38" x14ac:dyDescent="0.2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</row>
    <row r="799" spans="1:38" x14ac:dyDescent="0.2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</row>
    <row r="800" spans="1:38" x14ac:dyDescent="0.2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</row>
    <row r="801" spans="1:38" x14ac:dyDescent="0.2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</row>
    <row r="802" spans="1:38" x14ac:dyDescent="0.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</row>
    <row r="803" spans="1:38" x14ac:dyDescent="0.2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</row>
    <row r="804" spans="1:38" x14ac:dyDescent="0.2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</row>
    <row r="805" spans="1:38" x14ac:dyDescent="0.2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</row>
    <row r="806" spans="1:38" x14ac:dyDescent="0.2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</row>
    <row r="807" spans="1:38" x14ac:dyDescent="0.2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</row>
    <row r="808" spans="1:38" x14ac:dyDescent="0.2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</row>
    <row r="809" spans="1:38" x14ac:dyDescent="0.2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</row>
    <row r="810" spans="1:38" x14ac:dyDescent="0.2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</row>
    <row r="811" spans="1:38" x14ac:dyDescent="0.2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</row>
    <row r="812" spans="1:38" x14ac:dyDescent="0.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</row>
    <row r="813" spans="1:38" x14ac:dyDescent="0.2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</row>
    <row r="814" spans="1:38" x14ac:dyDescent="0.2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</row>
    <row r="815" spans="1:38" x14ac:dyDescent="0.2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</row>
    <row r="816" spans="1:38" x14ac:dyDescent="0.2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</row>
    <row r="817" spans="1:38" x14ac:dyDescent="0.2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</row>
    <row r="818" spans="1:38" x14ac:dyDescent="0.2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</row>
    <row r="819" spans="1:38" x14ac:dyDescent="0.2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</row>
    <row r="820" spans="1:38" x14ac:dyDescent="0.2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</row>
    <row r="821" spans="1:38" x14ac:dyDescent="0.2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</row>
    <row r="822" spans="1:38" x14ac:dyDescent="0.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</row>
    <row r="823" spans="1:38" x14ac:dyDescent="0.2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</row>
    <row r="824" spans="1:38" x14ac:dyDescent="0.2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</row>
    <row r="825" spans="1:38" x14ac:dyDescent="0.2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</row>
    <row r="826" spans="1:38" x14ac:dyDescent="0.2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</row>
    <row r="827" spans="1:38" x14ac:dyDescent="0.2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</row>
    <row r="828" spans="1:38" x14ac:dyDescent="0.2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</row>
    <row r="829" spans="1:38" x14ac:dyDescent="0.2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</row>
    <row r="830" spans="1:38" x14ac:dyDescent="0.2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</row>
    <row r="831" spans="1:38" x14ac:dyDescent="0.2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</row>
    <row r="832" spans="1:38" x14ac:dyDescent="0.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</row>
    <row r="833" spans="1:38" x14ac:dyDescent="0.2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</row>
    <row r="834" spans="1:38" x14ac:dyDescent="0.2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</row>
    <row r="835" spans="1:38" x14ac:dyDescent="0.2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</row>
    <row r="836" spans="1:38" x14ac:dyDescent="0.2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</row>
    <row r="837" spans="1:38" x14ac:dyDescent="0.2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</row>
    <row r="838" spans="1:38" x14ac:dyDescent="0.2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</row>
    <row r="839" spans="1:38" x14ac:dyDescent="0.2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</row>
    <row r="840" spans="1:38" x14ac:dyDescent="0.2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</row>
    <row r="841" spans="1:38" x14ac:dyDescent="0.2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</row>
    <row r="842" spans="1:38" x14ac:dyDescent="0.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</row>
    <row r="843" spans="1:38" x14ac:dyDescent="0.2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</row>
    <row r="844" spans="1:38" x14ac:dyDescent="0.2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</row>
    <row r="845" spans="1:38" x14ac:dyDescent="0.2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</row>
    <row r="846" spans="1:38" x14ac:dyDescent="0.2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</row>
    <row r="847" spans="1:38" x14ac:dyDescent="0.2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</row>
    <row r="848" spans="1:38" x14ac:dyDescent="0.2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</row>
    <row r="849" spans="1:38" x14ac:dyDescent="0.2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</row>
    <row r="850" spans="1:38" x14ac:dyDescent="0.2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</row>
    <row r="851" spans="1:38" x14ac:dyDescent="0.2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</row>
    <row r="852" spans="1:38" x14ac:dyDescent="0.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</row>
    <row r="853" spans="1:38" x14ac:dyDescent="0.2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</row>
    <row r="854" spans="1:38" x14ac:dyDescent="0.2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</row>
    <row r="855" spans="1:38" x14ac:dyDescent="0.2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</row>
    <row r="856" spans="1:38" x14ac:dyDescent="0.2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</row>
    <row r="857" spans="1:38" x14ac:dyDescent="0.2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</row>
    <row r="858" spans="1:38" x14ac:dyDescent="0.2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</row>
    <row r="859" spans="1:38" x14ac:dyDescent="0.2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</row>
    <row r="860" spans="1:38" x14ac:dyDescent="0.2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</row>
    <row r="861" spans="1:38" x14ac:dyDescent="0.2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</row>
    <row r="862" spans="1:38" x14ac:dyDescent="0.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</row>
    <row r="863" spans="1:38" x14ac:dyDescent="0.2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</row>
    <row r="864" spans="1:38" x14ac:dyDescent="0.2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</row>
    <row r="865" spans="1:38" x14ac:dyDescent="0.2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</row>
    <row r="866" spans="1:38" x14ac:dyDescent="0.2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</row>
    <row r="867" spans="1:38" x14ac:dyDescent="0.2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</row>
    <row r="868" spans="1:38" x14ac:dyDescent="0.2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</row>
    <row r="869" spans="1:38" x14ac:dyDescent="0.2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</row>
    <row r="870" spans="1:38" x14ac:dyDescent="0.2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</row>
    <row r="871" spans="1:38" x14ac:dyDescent="0.2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</row>
    <row r="872" spans="1:38" x14ac:dyDescent="0.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</row>
    <row r="873" spans="1:38" x14ac:dyDescent="0.2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</row>
    <row r="874" spans="1:38" x14ac:dyDescent="0.2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</row>
    <row r="875" spans="1:38" x14ac:dyDescent="0.2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</row>
    <row r="876" spans="1:38" x14ac:dyDescent="0.2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</row>
    <row r="877" spans="1:38" x14ac:dyDescent="0.2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</row>
    <row r="878" spans="1:38" x14ac:dyDescent="0.2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</row>
    <row r="879" spans="1:38" x14ac:dyDescent="0.2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</row>
    <row r="880" spans="1:38" x14ac:dyDescent="0.2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</row>
    <row r="881" spans="1:38" x14ac:dyDescent="0.2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</row>
    <row r="882" spans="1:38" x14ac:dyDescent="0.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</row>
    <row r="883" spans="1:38" x14ac:dyDescent="0.2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</row>
    <row r="884" spans="1:38" x14ac:dyDescent="0.2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</row>
    <row r="885" spans="1:38" x14ac:dyDescent="0.2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</row>
    <row r="886" spans="1:38" x14ac:dyDescent="0.2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</row>
    <row r="887" spans="1:38" x14ac:dyDescent="0.2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</row>
    <row r="888" spans="1:38" x14ac:dyDescent="0.2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</row>
    <row r="889" spans="1:38" x14ac:dyDescent="0.2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</row>
    <row r="890" spans="1:38" x14ac:dyDescent="0.2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</row>
    <row r="891" spans="1:38" x14ac:dyDescent="0.2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</row>
    <row r="892" spans="1:38" x14ac:dyDescent="0.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</row>
    <row r="893" spans="1:38" x14ac:dyDescent="0.2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</row>
    <row r="894" spans="1:38" x14ac:dyDescent="0.2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</row>
    <row r="895" spans="1:38" x14ac:dyDescent="0.2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</row>
    <row r="896" spans="1:38" x14ac:dyDescent="0.2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</row>
    <row r="897" spans="1:38" x14ac:dyDescent="0.2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</row>
    <row r="898" spans="1:38" x14ac:dyDescent="0.2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</row>
    <row r="899" spans="1:38" x14ac:dyDescent="0.2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</row>
    <row r="900" spans="1:38" x14ac:dyDescent="0.2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</row>
    <row r="901" spans="1:38" x14ac:dyDescent="0.2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</row>
    <row r="902" spans="1:38" x14ac:dyDescent="0.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</row>
    <row r="903" spans="1:38" x14ac:dyDescent="0.2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</row>
    <row r="904" spans="1:38" x14ac:dyDescent="0.2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</row>
    <row r="905" spans="1:38" x14ac:dyDescent="0.2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</row>
    <row r="906" spans="1:38" x14ac:dyDescent="0.2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</row>
    <row r="907" spans="1:38" x14ac:dyDescent="0.2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</row>
    <row r="908" spans="1:38" x14ac:dyDescent="0.2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</row>
    <row r="909" spans="1:38" x14ac:dyDescent="0.2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</row>
    <row r="910" spans="1:38" x14ac:dyDescent="0.2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</row>
    <row r="911" spans="1:38" x14ac:dyDescent="0.2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</row>
    <row r="912" spans="1:38" x14ac:dyDescent="0.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</row>
    <row r="913" spans="1:38" x14ac:dyDescent="0.2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</row>
    <row r="914" spans="1:38" x14ac:dyDescent="0.2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</row>
    <row r="915" spans="1:38" x14ac:dyDescent="0.2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</row>
    <row r="916" spans="1:38" x14ac:dyDescent="0.2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</row>
    <row r="917" spans="1:38" x14ac:dyDescent="0.2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</row>
    <row r="918" spans="1:38" x14ac:dyDescent="0.2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</row>
    <row r="919" spans="1:38" x14ac:dyDescent="0.2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</row>
    <row r="920" spans="1:38" x14ac:dyDescent="0.2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</row>
    <row r="921" spans="1:38" x14ac:dyDescent="0.2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</row>
    <row r="922" spans="1:38" x14ac:dyDescent="0.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</row>
    <row r="923" spans="1:38" x14ac:dyDescent="0.2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</row>
    <row r="924" spans="1:38" x14ac:dyDescent="0.2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</row>
    <row r="925" spans="1:38" x14ac:dyDescent="0.2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</row>
    <row r="926" spans="1:38" x14ac:dyDescent="0.2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</row>
    <row r="927" spans="1:38" x14ac:dyDescent="0.2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</row>
    <row r="928" spans="1:38" x14ac:dyDescent="0.2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</row>
    <row r="929" spans="1:38" x14ac:dyDescent="0.2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</row>
    <row r="930" spans="1:38" x14ac:dyDescent="0.2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</row>
    <row r="931" spans="1:38" x14ac:dyDescent="0.2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</row>
    <row r="932" spans="1:38" x14ac:dyDescent="0.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</row>
    <row r="933" spans="1:38" x14ac:dyDescent="0.2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</row>
    <row r="934" spans="1:38" x14ac:dyDescent="0.2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</row>
    <row r="935" spans="1:38" x14ac:dyDescent="0.2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</row>
    <row r="936" spans="1:38" x14ac:dyDescent="0.2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</row>
    <row r="937" spans="1:38" x14ac:dyDescent="0.2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</row>
    <row r="938" spans="1:38" x14ac:dyDescent="0.2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</row>
    <row r="939" spans="1:38" x14ac:dyDescent="0.2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</row>
    <row r="940" spans="1:38" x14ac:dyDescent="0.2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</row>
    <row r="941" spans="1:38" x14ac:dyDescent="0.2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</row>
    <row r="942" spans="1:38" x14ac:dyDescent="0.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</row>
    <row r="943" spans="1:38" x14ac:dyDescent="0.2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</row>
    <row r="944" spans="1:38" x14ac:dyDescent="0.2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</row>
    <row r="945" spans="1:38" x14ac:dyDescent="0.2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</row>
    <row r="946" spans="1:38" x14ac:dyDescent="0.2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</row>
    <row r="947" spans="1:38" x14ac:dyDescent="0.2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</row>
    <row r="948" spans="1:38" x14ac:dyDescent="0.2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</row>
    <row r="949" spans="1:38" x14ac:dyDescent="0.2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</row>
    <row r="950" spans="1:38" x14ac:dyDescent="0.2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</row>
    <row r="951" spans="1:38" x14ac:dyDescent="0.2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</row>
    <row r="952" spans="1:38" x14ac:dyDescent="0.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</row>
    <row r="953" spans="1:38" x14ac:dyDescent="0.2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</row>
    <row r="954" spans="1:38" x14ac:dyDescent="0.2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</row>
    <row r="955" spans="1:38" x14ac:dyDescent="0.2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</row>
    <row r="956" spans="1:38" x14ac:dyDescent="0.2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</row>
    <row r="957" spans="1:38" x14ac:dyDescent="0.2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</row>
    <row r="958" spans="1:38" x14ac:dyDescent="0.2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</row>
    <row r="959" spans="1:38" x14ac:dyDescent="0.2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</row>
    <row r="960" spans="1:38" x14ac:dyDescent="0.2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</row>
    <row r="961" spans="1:38" x14ac:dyDescent="0.2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</row>
    <row r="962" spans="1:38" x14ac:dyDescent="0.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</row>
    <row r="963" spans="1:38" x14ac:dyDescent="0.2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</row>
    <row r="964" spans="1:38" x14ac:dyDescent="0.2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</row>
    <row r="965" spans="1:38" x14ac:dyDescent="0.2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</row>
    <row r="966" spans="1:38" x14ac:dyDescent="0.2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</row>
    <row r="967" spans="1:38" x14ac:dyDescent="0.2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</row>
    <row r="968" spans="1:38" x14ac:dyDescent="0.2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</row>
    <row r="969" spans="1:38" x14ac:dyDescent="0.2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</row>
    <row r="970" spans="1:38" x14ac:dyDescent="0.2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</row>
    <row r="971" spans="1:38" x14ac:dyDescent="0.2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</row>
    <row r="972" spans="1:38" x14ac:dyDescent="0.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</row>
    <row r="973" spans="1:38" x14ac:dyDescent="0.2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</row>
    <row r="974" spans="1:38" x14ac:dyDescent="0.2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</row>
    <row r="975" spans="1:38" x14ac:dyDescent="0.2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</row>
    <row r="976" spans="1:38" x14ac:dyDescent="0.2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</row>
    <row r="977" spans="1:38" x14ac:dyDescent="0.2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</row>
    <row r="978" spans="1:38" x14ac:dyDescent="0.2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</row>
    <row r="979" spans="1:38" x14ac:dyDescent="0.2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</row>
    <row r="980" spans="1:38" x14ac:dyDescent="0.2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</row>
    <row r="981" spans="1:38" x14ac:dyDescent="0.2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</row>
    <row r="982" spans="1:38" x14ac:dyDescent="0.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</row>
    <row r="983" spans="1:38" x14ac:dyDescent="0.2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  <c r="AK983" s="44"/>
      <c r="AL983" s="44"/>
    </row>
    <row r="984" spans="1:38" x14ac:dyDescent="0.2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</row>
    <row r="985" spans="1:38" x14ac:dyDescent="0.2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  <c r="AK985" s="44"/>
      <c r="AL985" s="44"/>
    </row>
    <row r="986" spans="1:38" x14ac:dyDescent="0.2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</row>
    <row r="987" spans="1:38" x14ac:dyDescent="0.2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</row>
    <row r="988" spans="1:38" x14ac:dyDescent="0.2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</row>
    <row r="989" spans="1:38" x14ac:dyDescent="0.2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</row>
    <row r="990" spans="1:38" x14ac:dyDescent="0.2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</row>
    <row r="991" spans="1:38" x14ac:dyDescent="0.2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</row>
    <row r="992" spans="1:38" x14ac:dyDescent="0.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</row>
    <row r="993" spans="1:38" x14ac:dyDescent="0.2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</row>
    <row r="994" spans="1:38" x14ac:dyDescent="0.2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</row>
    <row r="995" spans="1:38" x14ac:dyDescent="0.2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</row>
    <row r="996" spans="1:38" x14ac:dyDescent="0.2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</row>
    <row r="997" spans="1:38" x14ac:dyDescent="0.2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</row>
    <row r="998" spans="1:38" x14ac:dyDescent="0.2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</row>
    <row r="999" spans="1:38" x14ac:dyDescent="0.2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</row>
    <row r="1000" spans="1:38" x14ac:dyDescent="0.2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REK KORAN DION</vt:lpstr>
      <vt:lpstr>LIST REK</vt:lpstr>
      <vt:lpstr>REK KORAN TELAGA</vt:lpstr>
      <vt:lpstr>LIST DATA REK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alamany7</dc:creator>
  <cp:lastModifiedBy>rosmanizar rosmanizar</cp:lastModifiedBy>
  <dcterms:created xsi:type="dcterms:W3CDTF">2025-06-02T13:37:51Z</dcterms:created>
  <dcterms:modified xsi:type="dcterms:W3CDTF">2025-07-26T10:17:20Z</dcterms:modified>
</cp:coreProperties>
</file>